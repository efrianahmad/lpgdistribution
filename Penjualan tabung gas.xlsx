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saha\Gas\"/>
    </mc:Choice>
  </mc:AlternateContent>
  <xr:revisionPtr revIDLastSave="0" documentId="13_ncr:1_{12A223B4-986C-4E7E-895A-2F77F41F15E0}" xr6:coauthVersionLast="47" xr6:coauthVersionMax="47" xr10:uidLastSave="{00000000-0000-0000-0000-000000000000}"/>
  <bookViews>
    <workbookView xWindow="-108" yWindow="-108" windowWidth="23256" windowHeight="13896" xr2:uid="{86632A8B-7DB1-4DC9-A132-567BF40F5D6D}"/>
  </bookViews>
  <sheets>
    <sheet name="Transaksi" sheetId="7" r:id="rId1"/>
    <sheet name="Dashboard" sheetId="8" r:id="rId2"/>
    <sheet name="Stok Gas" sheetId="4" r:id="rId3"/>
    <sheet name="Piutang" sheetId="5" r:id="rId4"/>
  </sheets>
  <definedNames>
    <definedName name="_xlnm._FilterDatabase" localSheetId="0" hidden="1">Transaksi!$A$1:$H$107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E3" i="5"/>
  <c r="E4" i="5"/>
  <c r="D4" i="5"/>
  <c r="D3" i="5"/>
  <c r="C4" i="5"/>
  <c r="D107" i="7"/>
  <c r="E107" i="7"/>
  <c r="D108" i="7"/>
  <c r="E108" i="7"/>
  <c r="D109" i="7"/>
  <c r="E109" i="7"/>
  <c r="F109" i="7"/>
  <c r="D110" i="7"/>
  <c r="E110" i="7"/>
  <c r="D111" i="7"/>
  <c r="E111" i="7"/>
  <c r="F111" i="7"/>
  <c r="D112" i="7"/>
  <c r="E112" i="7"/>
  <c r="F112" i="7"/>
  <c r="D113" i="7"/>
  <c r="E113" i="7"/>
  <c r="F113" i="7"/>
  <c r="D114" i="7"/>
  <c r="E114" i="7"/>
  <c r="D115" i="7"/>
  <c r="E115" i="7"/>
  <c r="F115" i="7"/>
  <c r="D116" i="7"/>
  <c r="E116" i="7"/>
  <c r="F116" i="7"/>
  <c r="D117" i="7"/>
  <c r="E117" i="7"/>
  <c r="D118" i="7"/>
  <c r="E118" i="7"/>
  <c r="F118" i="7"/>
  <c r="D119" i="7"/>
  <c r="E119" i="7"/>
  <c r="D120" i="7"/>
  <c r="E120" i="7"/>
  <c r="D104" i="7"/>
  <c r="D105" i="7"/>
  <c r="D106" i="7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E97" i="7"/>
  <c r="F97" i="7"/>
  <c r="E98" i="7"/>
  <c r="F98" i="7"/>
  <c r="D97" i="7"/>
  <c r="D12" i="4"/>
  <c r="B4" i="5"/>
  <c r="B3" i="5"/>
  <c r="F107" i="7" l="1"/>
  <c r="F110" i="7"/>
  <c r="F108" i="7"/>
  <c r="F119" i="7"/>
  <c r="F114" i="7"/>
  <c r="F117" i="7"/>
  <c r="F120" i="7"/>
  <c r="D87" i="7"/>
  <c r="E87" i="7"/>
  <c r="D11" i="4"/>
  <c r="E79" i="7"/>
  <c r="D79" i="7"/>
  <c r="D82" i="7"/>
  <c r="E82" i="7"/>
  <c r="D81" i="7"/>
  <c r="D83" i="7"/>
  <c r="D84" i="7"/>
  <c r="D85" i="7"/>
  <c r="D86" i="7"/>
  <c r="D88" i="7"/>
  <c r="D89" i="7"/>
  <c r="F89" i="7" s="1"/>
  <c r="D90" i="7"/>
  <c r="F90" i="7" s="1"/>
  <c r="D91" i="7"/>
  <c r="F91" i="7" s="1"/>
  <c r="D92" i="7"/>
  <c r="D93" i="7"/>
  <c r="D94" i="7"/>
  <c r="D95" i="7"/>
  <c r="D96" i="7"/>
  <c r="D98" i="7"/>
  <c r="D99" i="7"/>
  <c r="D100" i="7"/>
  <c r="D101" i="7"/>
  <c r="D102" i="7"/>
  <c r="D103" i="7"/>
  <c r="E80" i="7"/>
  <c r="E81" i="7"/>
  <c r="E83" i="7"/>
  <c r="E84" i="7"/>
  <c r="E85" i="7"/>
  <c r="E86" i="7"/>
  <c r="E88" i="7"/>
  <c r="E89" i="7"/>
  <c r="E90" i="7"/>
  <c r="E91" i="7"/>
  <c r="E92" i="7"/>
  <c r="E93" i="7"/>
  <c r="E94" i="7"/>
  <c r="E95" i="7"/>
  <c r="E96" i="7"/>
  <c r="E99" i="7"/>
  <c r="E100" i="7"/>
  <c r="E101" i="7"/>
  <c r="E102" i="7"/>
  <c r="E103" i="7"/>
  <c r="E104" i="7"/>
  <c r="E105" i="7"/>
  <c r="E106" i="7"/>
  <c r="D80" i="7"/>
  <c r="D71" i="7"/>
  <c r="E71" i="7"/>
  <c r="D72" i="7"/>
  <c r="E72" i="7"/>
  <c r="D73" i="7"/>
  <c r="E73" i="7"/>
  <c r="D74" i="7"/>
  <c r="E74" i="7"/>
  <c r="D75" i="7"/>
  <c r="E75" i="7"/>
  <c r="D76" i="7"/>
  <c r="E76" i="7"/>
  <c r="D77" i="7"/>
  <c r="E77" i="7"/>
  <c r="D78" i="7"/>
  <c r="E78" i="7"/>
  <c r="D10" i="4"/>
  <c r="E68" i="7"/>
  <c r="E69" i="7"/>
  <c r="E70" i="7"/>
  <c r="D70" i="7"/>
  <c r="E60" i="7"/>
  <c r="E61" i="7"/>
  <c r="E62" i="7"/>
  <c r="E63" i="7"/>
  <c r="E64" i="7"/>
  <c r="E65" i="7"/>
  <c r="E66" i="7"/>
  <c r="E67" i="7"/>
  <c r="D69" i="7"/>
  <c r="D68" i="7"/>
  <c r="D67" i="7"/>
  <c r="D65" i="7"/>
  <c r="D66" i="7"/>
  <c r="D9" i="4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D64" i="7"/>
  <c r="D63" i="7"/>
  <c r="D62" i="7"/>
  <c r="D61" i="7"/>
  <c r="D60" i="7"/>
  <c r="E59" i="7"/>
  <c r="D59" i="7"/>
  <c r="F59" i="7" s="1"/>
  <c r="E58" i="7"/>
  <c r="D58" i="7"/>
  <c r="F58" i="7" s="1"/>
  <c r="E57" i="7"/>
  <c r="D57" i="7"/>
  <c r="E56" i="7"/>
  <c r="D56" i="7"/>
  <c r="E55" i="7"/>
  <c r="D55" i="7"/>
  <c r="F55" i="7" s="1"/>
  <c r="E54" i="7"/>
  <c r="D54" i="7"/>
  <c r="E53" i="7"/>
  <c r="D53" i="7"/>
  <c r="E52" i="7"/>
  <c r="D52" i="7"/>
  <c r="E51" i="7"/>
  <c r="D51" i="7"/>
  <c r="F51" i="7" s="1"/>
  <c r="E50" i="7"/>
  <c r="D50" i="7"/>
  <c r="D35" i="7"/>
  <c r="D49" i="7"/>
  <c r="D48" i="7"/>
  <c r="D47" i="7"/>
  <c r="D46" i="7"/>
  <c r="D45" i="7"/>
  <c r="D44" i="7"/>
  <c r="D42" i="7"/>
  <c r="D43" i="7"/>
  <c r="D41" i="7"/>
  <c r="D40" i="7"/>
  <c r="D39" i="7"/>
  <c r="D38" i="7"/>
  <c r="D37" i="7"/>
  <c r="D36" i="7"/>
  <c r="D34" i="7"/>
  <c r="D33" i="7"/>
  <c r="D32" i="7"/>
  <c r="D31" i="7"/>
  <c r="D30" i="7"/>
  <c r="D29" i="7"/>
  <c r="D28" i="7"/>
  <c r="F28" i="7" s="1"/>
  <c r="D27" i="7"/>
  <c r="D26" i="7"/>
  <c r="D25" i="7"/>
  <c r="D24" i="7"/>
  <c r="D23" i="7"/>
  <c r="D22" i="7"/>
  <c r="D19" i="7"/>
  <c r="D21" i="7"/>
  <c r="D20" i="7"/>
  <c r="D18" i="7"/>
  <c r="C17" i="7"/>
  <c r="D16" i="7"/>
  <c r="D15" i="7"/>
  <c r="D14" i="7"/>
  <c r="D13" i="7"/>
  <c r="D12" i="7"/>
  <c r="F12" i="7" s="1"/>
  <c r="D11" i="7"/>
  <c r="F11" i="7" s="1"/>
  <c r="D10" i="7"/>
  <c r="D9" i="7"/>
  <c r="D8" i="7"/>
  <c r="D7" i="7"/>
  <c r="D6" i="7"/>
  <c r="D5" i="7"/>
  <c r="D4" i="7"/>
  <c r="D3" i="7"/>
  <c r="D2" i="7"/>
  <c r="F106" i="7" l="1"/>
  <c r="F105" i="7"/>
  <c r="F69" i="7"/>
  <c r="F102" i="7"/>
  <c r="F68" i="7"/>
  <c r="F73" i="7"/>
  <c r="F61" i="7"/>
  <c r="D17" i="7"/>
  <c r="K2" i="7"/>
  <c r="E2" i="4" s="1"/>
  <c r="E17" i="7"/>
  <c r="F17" i="7" s="1"/>
  <c r="F87" i="7"/>
  <c r="F56" i="7"/>
  <c r="F52" i="7"/>
  <c r="F82" i="7"/>
  <c r="F77" i="7"/>
  <c r="F71" i="7"/>
  <c r="F60" i="7"/>
  <c r="F94" i="7"/>
  <c r="F44" i="7"/>
  <c r="F103" i="7"/>
  <c r="F74" i="7"/>
  <c r="F70" i="7"/>
  <c r="F101" i="7"/>
  <c r="F85" i="7"/>
  <c r="F100" i="7"/>
  <c r="F84" i="7"/>
  <c r="F79" i="7"/>
  <c r="F67" i="7"/>
  <c r="F86" i="7"/>
  <c r="F65" i="7"/>
  <c r="F66" i="7"/>
  <c r="F83" i="7"/>
  <c r="F99" i="7"/>
  <c r="F62" i="7"/>
  <c r="F72" i="7"/>
  <c r="F63" i="7"/>
  <c r="F64" i="7"/>
  <c r="F95" i="7"/>
  <c r="F104" i="7"/>
  <c r="F39" i="7"/>
  <c r="F7" i="7"/>
  <c r="F40" i="7"/>
  <c r="F24" i="7"/>
  <c r="F41" i="7"/>
  <c r="F9" i="7"/>
  <c r="F25" i="7"/>
  <c r="F10" i="7"/>
  <c r="F54" i="7"/>
  <c r="F47" i="7"/>
  <c r="F48" i="7"/>
  <c r="F76" i="7"/>
  <c r="F96" i="7"/>
  <c r="F16" i="7"/>
  <c r="F32" i="7"/>
  <c r="F75" i="7"/>
  <c r="F81" i="7"/>
  <c r="F93" i="7"/>
  <c r="F80" i="7"/>
  <c r="F92" i="7"/>
  <c r="F88" i="7"/>
  <c r="F78" i="7"/>
  <c r="H2" i="7"/>
  <c r="I2" i="7"/>
  <c r="F21" i="7"/>
  <c r="F37" i="7"/>
  <c r="F6" i="7"/>
  <c r="F22" i="7"/>
  <c r="F36" i="7"/>
  <c r="F38" i="7"/>
  <c r="F5" i="7"/>
  <c r="F53" i="7"/>
  <c r="F4" i="7"/>
  <c r="F18" i="7"/>
  <c r="F19" i="7"/>
  <c r="F3" i="7"/>
  <c r="F43" i="7"/>
  <c r="F27" i="7"/>
  <c r="F13" i="7"/>
  <c r="F2" i="7"/>
  <c r="F49" i="7"/>
  <c r="F14" i="7"/>
  <c r="F29" i="7"/>
  <c r="F45" i="7"/>
  <c r="F33" i="7"/>
  <c r="F15" i="7"/>
  <c r="F30" i="7"/>
  <c r="F46" i="7"/>
  <c r="F23" i="7"/>
  <c r="F8" i="7"/>
  <c r="F31" i="7"/>
  <c r="F50" i="7"/>
  <c r="F26" i="7"/>
  <c r="F35" i="7"/>
  <c r="F20" i="7"/>
  <c r="F34" i="7"/>
  <c r="F42" i="7"/>
  <c r="F57" i="7"/>
  <c r="J2" i="7" l="1"/>
  <c r="D8" i="4"/>
  <c r="D3" i="4"/>
  <c r="D4" i="4"/>
  <c r="D5" i="4"/>
  <c r="D6" i="4"/>
  <c r="D7" i="4"/>
  <c r="D2" i="4"/>
  <c r="F3" i="5" l="1"/>
  <c r="F4" i="5"/>
</calcChain>
</file>

<file path=xl/sharedStrings.xml><?xml version="1.0" encoding="utf-8"?>
<sst xmlns="http://schemas.openxmlformats.org/spreadsheetml/2006/main" count="250" uniqueCount="32">
  <si>
    <t>Tanggal</t>
  </si>
  <si>
    <t>Omzet</t>
  </si>
  <si>
    <t>Modal</t>
  </si>
  <si>
    <t>Laba</t>
  </si>
  <si>
    <t>Total Laba</t>
  </si>
  <si>
    <t>Sisa Tabung</t>
  </si>
  <si>
    <t>Pembeli</t>
  </si>
  <si>
    <t>Tate</t>
  </si>
  <si>
    <t>Kru</t>
  </si>
  <si>
    <t>Status</t>
  </si>
  <si>
    <t>Lunas</t>
  </si>
  <si>
    <t>RM</t>
  </si>
  <si>
    <t>Total Piutang</t>
  </si>
  <si>
    <t>Total Omzet</t>
  </si>
  <si>
    <t>Wa Iim</t>
  </si>
  <si>
    <t>Warung Umi</t>
  </si>
  <si>
    <t>Gas Keluar</t>
  </si>
  <si>
    <t>Mamat</t>
  </si>
  <si>
    <t>RM Umi</t>
  </si>
  <si>
    <t>kru</t>
  </si>
  <si>
    <t>Mamah</t>
  </si>
  <si>
    <t>Belum lunas</t>
  </si>
  <si>
    <t>Tabung Masuk</t>
  </si>
  <si>
    <t>Modal Satuan</t>
  </si>
  <si>
    <t>Total Modal</t>
  </si>
  <si>
    <t>Nama</t>
  </si>
  <si>
    <t>April</t>
  </si>
  <si>
    <t>Mei</t>
  </si>
  <si>
    <t>Total</t>
  </si>
  <si>
    <t>Jml tabung</t>
  </si>
  <si>
    <t>PIUTANG</t>
  </si>
  <si>
    <t>Juni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</si>
</sst>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Rp-421]* #,##0_-;\-[$Rp-421]* #,##0_-;_-[$Rp-421]* &quot;-&quot;??_-;_-@_-"/>
    <numFmt numFmtId="165" formatCode="dd/mm/yy;@"/>
    <numFmt numFmtId="172" formatCode="&quot;$&quot;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14" fontId="0" fillId="0" borderId="0" xfId="0" applyNumberFormat="1"/>
    <xf numFmtId="0" fontId="0" fillId="3" borderId="1" xfId="0" applyFill="1" applyBorder="1"/>
    <xf numFmtId="164" fontId="2" fillId="2" borderId="0" xfId="1" applyNumberFormat="1" applyFont="1" applyFill="1"/>
    <xf numFmtId="0" fontId="0" fillId="0" borderId="2" xfId="0" applyBorder="1"/>
    <xf numFmtId="164" fontId="0" fillId="0" borderId="2" xfId="0" applyNumberFormat="1" applyBorder="1"/>
    <xf numFmtId="0" fontId="0" fillId="3" borderId="3" xfId="0" applyFill="1" applyBorder="1"/>
    <xf numFmtId="0" fontId="0" fillId="3" borderId="0" xfId="0" applyFill="1"/>
    <xf numFmtId="0" fontId="0" fillId="0" borderId="1" xfId="0" applyBorder="1" applyAlignment="1">
      <alignment horizontal="center"/>
    </xf>
    <xf numFmtId="164" fontId="2" fillId="0" borderId="1" xfId="0" applyNumberFormat="1" applyFont="1" applyBorder="1"/>
    <xf numFmtId="165" fontId="0" fillId="3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165" fontId="0" fillId="0" borderId="0" xfId="2" applyNumberFormat="1" applyFont="1"/>
    <xf numFmtId="1" fontId="0" fillId="3" borderId="1" xfId="0" applyNumberFormat="1" applyFill="1" applyBorder="1"/>
    <xf numFmtId="1" fontId="0" fillId="0" borderId="1" xfId="0" applyNumberFormat="1" applyBorder="1"/>
    <xf numFmtId="1" fontId="0" fillId="0" borderId="2" xfId="0" applyNumberFormat="1" applyBorder="1"/>
    <xf numFmtId="1" fontId="0" fillId="0" borderId="0" xfId="0" applyNumberFormat="1"/>
    <xf numFmtId="49" fontId="0" fillId="3" borderId="1" xfId="0" applyNumberFormat="1" applyFill="1" applyBorder="1"/>
    <xf numFmtId="49" fontId="0" fillId="0" borderId="1" xfId="0" applyNumberFormat="1" applyBorder="1"/>
    <xf numFmtId="49" fontId="0" fillId="0" borderId="2" xfId="0" applyNumberFormat="1" applyBorder="1"/>
    <xf numFmtId="49" fontId="0" fillId="0" borderId="0" xfId="0" applyNumberFormat="1"/>
    <xf numFmtId="0" fontId="2" fillId="4" borderId="0" xfId="0" applyFont="1" applyFill="1" applyAlignment="1">
      <alignment horizontal="center"/>
    </xf>
    <xf numFmtId="172" fontId="0" fillId="0" borderId="1" xfId="0" applyNumberFormat="1" applyBorder="1"/>
    <xf numFmtId="172" fontId="0" fillId="0" borderId="1" xfId="1" applyNumberFormat="1" applyFont="1" applyBorder="1"/>
  </cellXfs>
  <cellStyles count="3">
    <cellStyle name="Comma" xfId="2" builtinId="3"/>
    <cellStyle name="Currency" xfId="1" builtinId="4"/>
    <cellStyle name="Normal" xfId="0" builtinId="0"/>
  </cellStyles>
  <dxfs count="4">
    <dxf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F102A-406D-4227-8C3D-970DD9A63B73}">
  <dimension ref="A1:K120"/>
  <sheetViews>
    <sheetView tabSelected="1" workbookViewId="0">
      <pane ySplit="1" topLeftCell="A86" activePane="bottomLeft" state="frozen"/>
      <selection pane="bottomLeft" activeCell="C104" sqref="C104"/>
    </sheetView>
  </sheetViews>
  <sheetFormatPr defaultRowHeight="14.4" x14ac:dyDescent="0.3"/>
  <cols>
    <col min="1" max="1" width="9.33203125" style="15" bestFit="1" customWidth="1"/>
    <col min="2" max="2" width="10.77734375" style="24" bestFit="1" customWidth="1"/>
    <col min="3" max="3" width="9.6640625" style="20" bestFit="1" customWidth="1"/>
    <col min="4" max="6" width="11" bestFit="1" customWidth="1"/>
    <col min="7" max="7" width="11.109375" bestFit="1" customWidth="1"/>
    <col min="8" max="8" width="13.44140625" bestFit="1" customWidth="1"/>
    <col min="9" max="9" width="12.5546875" bestFit="1" customWidth="1"/>
    <col min="10" max="10" width="12.6640625" bestFit="1" customWidth="1"/>
    <col min="11" max="11" width="10.44140625" bestFit="1" customWidth="1"/>
  </cols>
  <sheetData>
    <row r="1" spans="1:11" x14ac:dyDescent="0.3">
      <c r="A1" s="13" t="s">
        <v>0</v>
      </c>
      <c r="B1" s="21" t="s">
        <v>6</v>
      </c>
      <c r="C1" s="17" t="s">
        <v>16</v>
      </c>
      <c r="D1" s="5" t="s">
        <v>1</v>
      </c>
      <c r="E1" s="5" t="s">
        <v>2</v>
      </c>
      <c r="F1" s="5" t="s">
        <v>3</v>
      </c>
      <c r="G1" s="5" t="s">
        <v>9</v>
      </c>
      <c r="H1" s="9" t="s">
        <v>12</v>
      </c>
      <c r="I1" s="5" t="s">
        <v>13</v>
      </c>
      <c r="J1" s="5" t="s">
        <v>4</v>
      </c>
      <c r="K1" s="10" t="s">
        <v>5</v>
      </c>
    </row>
    <row r="2" spans="1:11" x14ac:dyDescent="0.3">
      <c r="A2" s="14">
        <v>46117</v>
      </c>
      <c r="B2" s="22" t="s">
        <v>7</v>
      </c>
      <c r="C2" s="18">
        <v>2</v>
      </c>
      <c r="D2" s="2">
        <f t="shared" ref="D2:D33" si="0">C2*25000</f>
        <v>50000</v>
      </c>
      <c r="E2" s="2">
        <f>C2*'Stok Gas'!$C$2</f>
        <v>42000</v>
      </c>
      <c r="F2" s="2">
        <f t="shared" ref="F2:F33" si="1">D2-E2</f>
        <v>8000</v>
      </c>
      <c r="G2" s="1" t="s">
        <v>10</v>
      </c>
      <c r="H2" s="3">
        <f>SUMIF(G:G,"Belum lunas",D:D)</f>
        <v>225000</v>
      </c>
      <c r="I2" s="3">
        <f>SUM(D:D)</f>
        <v>7500000</v>
      </c>
      <c r="J2" s="6">
        <f>SUM(F:F)</f>
        <v>1200000</v>
      </c>
      <c r="K2">
        <f>SUM('Stok Gas'!B:B)-SUM(C:C)</f>
        <v>17</v>
      </c>
    </row>
    <row r="3" spans="1:11" x14ac:dyDescent="0.3">
      <c r="A3" s="14">
        <v>46117</v>
      </c>
      <c r="B3" s="22" t="s">
        <v>8</v>
      </c>
      <c r="C3" s="18">
        <v>2</v>
      </c>
      <c r="D3" s="2">
        <f t="shared" si="0"/>
        <v>50000</v>
      </c>
      <c r="E3" s="2">
        <f>C3*'Stok Gas'!$C$2</f>
        <v>42000</v>
      </c>
      <c r="F3" s="2">
        <f t="shared" si="1"/>
        <v>8000</v>
      </c>
      <c r="G3" s="1" t="s">
        <v>10</v>
      </c>
    </row>
    <row r="4" spans="1:11" x14ac:dyDescent="0.3">
      <c r="A4" s="14">
        <v>46120</v>
      </c>
      <c r="B4" s="22" t="s">
        <v>8</v>
      </c>
      <c r="C4" s="18">
        <v>5</v>
      </c>
      <c r="D4" s="2">
        <f t="shared" si="0"/>
        <v>125000</v>
      </c>
      <c r="E4" s="2">
        <f>C4*'Stok Gas'!$C$2</f>
        <v>105000</v>
      </c>
      <c r="F4" s="2">
        <f t="shared" si="1"/>
        <v>20000</v>
      </c>
      <c r="G4" s="1" t="s">
        <v>10</v>
      </c>
    </row>
    <row r="5" spans="1:11" x14ac:dyDescent="0.3">
      <c r="A5" s="14">
        <v>46120</v>
      </c>
      <c r="B5" s="22" t="s">
        <v>11</v>
      </c>
      <c r="C5" s="18">
        <v>10</v>
      </c>
      <c r="D5" s="2">
        <f t="shared" si="0"/>
        <v>250000</v>
      </c>
      <c r="E5" s="2">
        <f>C5*'Stok Gas'!$C$2</f>
        <v>210000</v>
      </c>
      <c r="F5" s="2">
        <f t="shared" si="1"/>
        <v>40000</v>
      </c>
      <c r="G5" s="1" t="s">
        <v>10</v>
      </c>
    </row>
    <row r="6" spans="1:11" x14ac:dyDescent="0.3">
      <c r="A6" s="14">
        <v>46122</v>
      </c>
      <c r="B6" s="22" t="s">
        <v>11</v>
      </c>
      <c r="C6" s="18">
        <v>7</v>
      </c>
      <c r="D6" s="2">
        <f t="shared" si="0"/>
        <v>175000</v>
      </c>
      <c r="E6" s="2">
        <f>C6*'Stok Gas'!$C$2</f>
        <v>147000</v>
      </c>
      <c r="F6" s="2">
        <f t="shared" si="1"/>
        <v>28000</v>
      </c>
      <c r="G6" s="1" t="s">
        <v>10</v>
      </c>
    </row>
    <row r="7" spans="1:11" x14ac:dyDescent="0.3">
      <c r="A7" s="14">
        <v>46124</v>
      </c>
      <c r="B7" s="22" t="s">
        <v>14</v>
      </c>
      <c r="C7" s="18">
        <v>1</v>
      </c>
      <c r="D7" s="2">
        <f t="shared" si="0"/>
        <v>25000</v>
      </c>
      <c r="E7" s="2">
        <f>C7*'Stok Gas'!$C$2</f>
        <v>21000</v>
      </c>
      <c r="F7" s="2">
        <f t="shared" si="1"/>
        <v>4000</v>
      </c>
      <c r="G7" s="1" t="s">
        <v>10</v>
      </c>
    </row>
    <row r="8" spans="1:11" x14ac:dyDescent="0.3">
      <c r="A8" s="14">
        <v>46124</v>
      </c>
      <c r="B8" s="22" t="s">
        <v>8</v>
      </c>
      <c r="C8" s="18">
        <v>2</v>
      </c>
      <c r="D8" s="2">
        <f t="shared" si="0"/>
        <v>50000</v>
      </c>
      <c r="E8" s="2">
        <f>C8*'Stok Gas'!$C$2</f>
        <v>42000</v>
      </c>
      <c r="F8" s="2">
        <f t="shared" si="1"/>
        <v>8000</v>
      </c>
      <c r="G8" s="1" t="s">
        <v>10</v>
      </c>
    </row>
    <row r="9" spans="1:11" x14ac:dyDescent="0.3">
      <c r="A9" s="14">
        <v>46124</v>
      </c>
      <c r="B9" s="22" t="s">
        <v>15</v>
      </c>
      <c r="C9" s="18">
        <v>1</v>
      </c>
      <c r="D9" s="2">
        <f t="shared" si="0"/>
        <v>25000</v>
      </c>
      <c r="E9" s="2">
        <f>C9*'Stok Gas'!$C$2</f>
        <v>21000</v>
      </c>
      <c r="F9" s="2">
        <f t="shared" si="1"/>
        <v>4000</v>
      </c>
      <c r="G9" s="1" t="s">
        <v>10</v>
      </c>
    </row>
    <row r="10" spans="1:11" x14ac:dyDescent="0.3">
      <c r="A10" s="14">
        <v>46125</v>
      </c>
      <c r="B10" s="22" t="s">
        <v>7</v>
      </c>
      <c r="C10" s="18">
        <v>2</v>
      </c>
      <c r="D10" s="2">
        <f t="shared" si="0"/>
        <v>50000</v>
      </c>
      <c r="E10" s="2">
        <f>C10*'Stok Gas'!$C$2</f>
        <v>42000</v>
      </c>
      <c r="F10" s="2">
        <f t="shared" si="1"/>
        <v>8000</v>
      </c>
      <c r="G10" s="1" t="s">
        <v>10</v>
      </c>
    </row>
    <row r="11" spans="1:11" x14ac:dyDescent="0.3">
      <c r="A11" s="14">
        <v>46126</v>
      </c>
      <c r="B11" s="22" t="s">
        <v>14</v>
      </c>
      <c r="C11" s="18">
        <v>2</v>
      </c>
      <c r="D11" s="2">
        <f t="shared" si="0"/>
        <v>50000</v>
      </c>
      <c r="E11" s="2">
        <f>C11*'Stok Gas'!$C$2</f>
        <v>42000</v>
      </c>
      <c r="F11" s="2">
        <f t="shared" si="1"/>
        <v>8000</v>
      </c>
      <c r="G11" s="1" t="s">
        <v>10</v>
      </c>
    </row>
    <row r="12" spans="1:11" x14ac:dyDescent="0.3">
      <c r="A12" s="14">
        <v>46126</v>
      </c>
      <c r="B12" s="22" t="s">
        <v>8</v>
      </c>
      <c r="C12" s="18">
        <v>2</v>
      </c>
      <c r="D12" s="2">
        <f t="shared" si="0"/>
        <v>50000</v>
      </c>
      <c r="E12" s="2">
        <f>C12*'Stok Gas'!$C$2</f>
        <v>42000</v>
      </c>
      <c r="F12" s="2">
        <f t="shared" si="1"/>
        <v>8000</v>
      </c>
      <c r="G12" s="1" t="s">
        <v>10</v>
      </c>
    </row>
    <row r="13" spans="1:11" x14ac:dyDescent="0.3">
      <c r="A13" s="14">
        <v>46126</v>
      </c>
      <c r="B13" s="22" t="s">
        <v>11</v>
      </c>
      <c r="C13" s="18">
        <v>4</v>
      </c>
      <c r="D13" s="2">
        <f t="shared" si="0"/>
        <v>100000</v>
      </c>
      <c r="E13" s="2">
        <f>C13*'Stok Gas'!$C$2</f>
        <v>84000</v>
      </c>
      <c r="F13" s="2">
        <f t="shared" si="1"/>
        <v>16000</v>
      </c>
      <c r="G13" s="1" t="s">
        <v>10</v>
      </c>
    </row>
    <row r="14" spans="1:11" x14ac:dyDescent="0.3">
      <c r="A14" s="14">
        <v>46126</v>
      </c>
      <c r="B14" s="22" t="s">
        <v>17</v>
      </c>
      <c r="C14" s="18">
        <v>5</v>
      </c>
      <c r="D14" s="2">
        <f t="shared" si="0"/>
        <v>125000</v>
      </c>
      <c r="E14" s="2">
        <f>C14*'Stok Gas'!$C$2</f>
        <v>105000</v>
      </c>
      <c r="F14" s="2">
        <f t="shared" si="1"/>
        <v>20000</v>
      </c>
      <c r="G14" s="1" t="s">
        <v>10</v>
      </c>
    </row>
    <row r="15" spans="1:11" x14ac:dyDescent="0.3">
      <c r="A15" s="14">
        <v>46126</v>
      </c>
      <c r="B15" s="22" t="s">
        <v>8</v>
      </c>
      <c r="C15" s="18">
        <v>2</v>
      </c>
      <c r="D15" s="2">
        <f t="shared" si="0"/>
        <v>50000</v>
      </c>
      <c r="E15" s="2">
        <f>C15*'Stok Gas'!$C$2</f>
        <v>42000</v>
      </c>
      <c r="F15" s="2">
        <f t="shared" si="1"/>
        <v>8000</v>
      </c>
      <c r="G15" s="1" t="s">
        <v>10</v>
      </c>
    </row>
    <row r="16" spans="1:11" x14ac:dyDescent="0.3">
      <c r="A16" s="14">
        <v>46127</v>
      </c>
      <c r="B16" s="22" t="s">
        <v>17</v>
      </c>
      <c r="C16" s="18">
        <v>7</v>
      </c>
      <c r="D16" s="2">
        <f t="shared" si="0"/>
        <v>175000</v>
      </c>
      <c r="E16" s="2">
        <f>C16*'Stok Gas'!$C$2</f>
        <v>147000</v>
      </c>
      <c r="F16" s="2">
        <f t="shared" si="1"/>
        <v>28000</v>
      </c>
      <c r="G16" s="1" t="s">
        <v>10</v>
      </c>
    </row>
    <row r="17" spans="1:8" x14ac:dyDescent="0.3">
      <c r="A17" s="14">
        <v>46128</v>
      </c>
      <c r="B17" s="22" t="s">
        <v>17</v>
      </c>
      <c r="C17" s="18">
        <f>4+2</f>
        <v>6</v>
      </c>
      <c r="D17" s="2">
        <f t="shared" si="0"/>
        <v>150000</v>
      </c>
      <c r="E17" s="2">
        <f>C17*'Stok Gas'!$C$2</f>
        <v>126000</v>
      </c>
      <c r="F17" s="2">
        <f t="shared" si="1"/>
        <v>24000</v>
      </c>
      <c r="G17" s="1" t="s">
        <v>10</v>
      </c>
    </row>
    <row r="18" spans="1:8" x14ac:dyDescent="0.3">
      <c r="A18" s="14">
        <v>46129</v>
      </c>
      <c r="B18" s="22" t="s">
        <v>18</v>
      </c>
      <c r="C18" s="18">
        <v>4</v>
      </c>
      <c r="D18" s="2">
        <f t="shared" si="0"/>
        <v>100000</v>
      </c>
      <c r="E18" s="2">
        <f>C18*'Stok Gas'!$C$2</f>
        <v>84000</v>
      </c>
      <c r="F18" s="2">
        <f t="shared" si="1"/>
        <v>16000</v>
      </c>
      <c r="G18" s="1" t="s">
        <v>10</v>
      </c>
    </row>
    <row r="19" spans="1:8" x14ac:dyDescent="0.3">
      <c r="A19" s="14">
        <v>46129</v>
      </c>
      <c r="B19" s="22" t="s">
        <v>8</v>
      </c>
      <c r="C19" s="18">
        <v>2</v>
      </c>
      <c r="D19" s="2">
        <f t="shared" si="0"/>
        <v>50000</v>
      </c>
      <c r="E19" s="2">
        <f>C19*'Stok Gas'!$C$2</f>
        <v>42000</v>
      </c>
      <c r="F19" s="2">
        <f t="shared" si="1"/>
        <v>8000</v>
      </c>
      <c r="G19" s="1" t="s">
        <v>10</v>
      </c>
    </row>
    <row r="20" spans="1:8" x14ac:dyDescent="0.3">
      <c r="A20" s="14">
        <v>46130</v>
      </c>
      <c r="B20" s="22" t="s">
        <v>8</v>
      </c>
      <c r="C20" s="18">
        <v>1</v>
      </c>
      <c r="D20" s="2">
        <f t="shared" si="0"/>
        <v>25000</v>
      </c>
      <c r="E20" s="2">
        <f>C20*'Stok Gas'!$C$2</f>
        <v>21000</v>
      </c>
      <c r="F20" s="2">
        <f t="shared" si="1"/>
        <v>4000</v>
      </c>
      <c r="G20" s="1" t="s">
        <v>10</v>
      </c>
    </row>
    <row r="21" spans="1:8" x14ac:dyDescent="0.3">
      <c r="A21" s="14">
        <v>46130</v>
      </c>
      <c r="B21" s="22" t="s">
        <v>17</v>
      </c>
      <c r="C21" s="18">
        <v>4</v>
      </c>
      <c r="D21" s="2">
        <f t="shared" si="0"/>
        <v>100000</v>
      </c>
      <c r="E21" s="2">
        <f>C21*'Stok Gas'!$C$2</f>
        <v>84000</v>
      </c>
      <c r="F21" s="2">
        <f t="shared" si="1"/>
        <v>16000</v>
      </c>
      <c r="G21" s="1" t="s">
        <v>10</v>
      </c>
    </row>
    <row r="22" spans="1:8" x14ac:dyDescent="0.3">
      <c r="A22" s="14">
        <v>46131</v>
      </c>
      <c r="B22" s="22" t="s">
        <v>17</v>
      </c>
      <c r="C22" s="18">
        <v>4</v>
      </c>
      <c r="D22" s="2">
        <f t="shared" si="0"/>
        <v>100000</v>
      </c>
      <c r="E22" s="2">
        <f>C22*'Stok Gas'!$C$2</f>
        <v>84000</v>
      </c>
      <c r="F22" s="2">
        <f t="shared" si="1"/>
        <v>16000</v>
      </c>
      <c r="G22" s="1" t="s">
        <v>10</v>
      </c>
    </row>
    <row r="23" spans="1:8" x14ac:dyDescent="0.3">
      <c r="A23" s="14">
        <v>46131</v>
      </c>
      <c r="B23" s="22" t="s">
        <v>8</v>
      </c>
      <c r="C23" s="18">
        <v>2</v>
      </c>
      <c r="D23" s="2">
        <f t="shared" si="0"/>
        <v>50000</v>
      </c>
      <c r="E23" s="2">
        <f>C23*'Stok Gas'!$C$2</f>
        <v>42000</v>
      </c>
      <c r="F23" s="2">
        <f t="shared" si="1"/>
        <v>8000</v>
      </c>
      <c r="G23" s="1" t="s">
        <v>10</v>
      </c>
    </row>
    <row r="24" spans="1:8" x14ac:dyDescent="0.3">
      <c r="A24" s="14">
        <v>46131</v>
      </c>
      <c r="B24" s="22" t="s">
        <v>7</v>
      </c>
      <c r="C24" s="18">
        <v>2</v>
      </c>
      <c r="D24" s="2">
        <f t="shared" si="0"/>
        <v>50000</v>
      </c>
      <c r="E24" s="2">
        <f>C24*'Stok Gas'!$C$2</f>
        <v>42000</v>
      </c>
      <c r="F24" s="2">
        <f t="shared" si="1"/>
        <v>8000</v>
      </c>
      <c r="G24" s="1" t="s">
        <v>10</v>
      </c>
    </row>
    <row r="25" spans="1:8" x14ac:dyDescent="0.3">
      <c r="A25" s="14">
        <v>46131</v>
      </c>
      <c r="B25" s="22" t="s">
        <v>17</v>
      </c>
      <c r="C25" s="18">
        <v>4</v>
      </c>
      <c r="D25" s="2">
        <f t="shared" si="0"/>
        <v>100000</v>
      </c>
      <c r="E25" s="2">
        <f>C25*'Stok Gas'!$C$2</f>
        <v>84000</v>
      </c>
      <c r="F25" s="2">
        <f t="shared" si="1"/>
        <v>16000</v>
      </c>
      <c r="G25" s="1" t="s">
        <v>10</v>
      </c>
    </row>
    <row r="26" spans="1:8" x14ac:dyDescent="0.3">
      <c r="A26" s="14">
        <v>46132</v>
      </c>
      <c r="B26" s="22" t="s">
        <v>19</v>
      </c>
      <c r="C26" s="18">
        <v>2</v>
      </c>
      <c r="D26" s="2">
        <f t="shared" si="0"/>
        <v>50000</v>
      </c>
      <c r="E26" s="2">
        <f>C26*'Stok Gas'!$C$2</f>
        <v>42000</v>
      </c>
      <c r="F26" s="2">
        <f t="shared" si="1"/>
        <v>8000</v>
      </c>
      <c r="G26" s="1" t="s">
        <v>10</v>
      </c>
    </row>
    <row r="27" spans="1:8" x14ac:dyDescent="0.3">
      <c r="A27" s="14">
        <v>46132</v>
      </c>
      <c r="B27" s="22" t="s">
        <v>14</v>
      </c>
      <c r="C27" s="18">
        <v>1</v>
      </c>
      <c r="D27" s="2">
        <f t="shared" si="0"/>
        <v>25000</v>
      </c>
      <c r="E27" s="2">
        <f>C27*'Stok Gas'!$C$2</f>
        <v>21000</v>
      </c>
      <c r="F27" s="2">
        <f t="shared" si="1"/>
        <v>4000</v>
      </c>
      <c r="G27" s="1" t="s">
        <v>10</v>
      </c>
    </row>
    <row r="28" spans="1:8" x14ac:dyDescent="0.3">
      <c r="A28" s="14">
        <v>46133</v>
      </c>
      <c r="B28" s="22" t="s">
        <v>17</v>
      </c>
      <c r="C28" s="18">
        <v>8</v>
      </c>
      <c r="D28" s="2">
        <f t="shared" si="0"/>
        <v>200000</v>
      </c>
      <c r="E28" s="2">
        <f>C28*'Stok Gas'!$C$2</f>
        <v>168000</v>
      </c>
      <c r="F28" s="2">
        <f t="shared" si="1"/>
        <v>32000</v>
      </c>
      <c r="G28" s="1" t="s">
        <v>10</v>
      </c>
    </row>
    <row r="29" spans="1:8" x14ac:dyDescent="0.3">
      <c r="A29" s="14">
        <v>46133</v>
      </c>
      <c r="B29" s="22" t="s">
        <v>8</v>
      </c>
      <c r="C29" s="18">
        <v>2</v>
      </c>
      <c r="D29" s="2">
        <f t="shared" si="0"/>
        <v>50000</v>
      </c>
      <c r="E29" s="2">
        <f>C29*'Stok Gas'!$C$2</f>
        <v>42000</v>
      </c>
      <c r="F29" s="2">
        <f t="shared" si="1"/>
        <v>8000</v>
      </c>
      <c r="G29" s="1" t="s">
        <v>10</v>
      </c>
      <c r="H29" s="3"/>
    </row>
    <row r="30" spans="1:8" x14ac:dyDescent="0.3">
      <c r="A30" s="14">
        <v>46134</v>
      </c>
      <c r="B30" s="22" t="s">
        <v>17</v>
      </c>
      <c r="C30" s="18">
        <v>3</v>
      </c>
      <c r="D30" s="2">
        <f t="shared" si="0"/>
        <v>75000</v>
      </c>
      <c r="E30" s="2">
        <f>C30*'Stok Gas'!$C$2</f>
        <v>63000</v>
      </c>
      <c r="F30" s="2">
        <f t="shared" si="1"/>
        <v>12000</v>
      </c>
      <c r="G30" s="1" t="s">
        <v>10</v>
      </c>
    </row>
    <row r="31" spans="1:8" x14ac:dyDescent="0.3">
      <c r="A31" s="14">
        <v>46134</v>
      </c>
      <c r="B31" s="22" t="s">
        <v>17</v>
      </c>
      <c r="C31" s="18">
        <v>2</v>
      </c>
      <c r="D31" s="2">
        <f t="shared" si="0"/>
        <v>50000</v>
      </c>
      <c r="E31" s="2">
        <f>C31*'Stok Gas'!$C$2</f>
        <v>42000</v>
      </c>
      <c r="F31" s="2">
        <f t="shared" si="1"/>
        <v>8000</v>
      </c>
      <c r="G31" s="1" t="s">
        <v>10</v>
      </c>
    </row>
    <row r="32" spans="1:8" x14ac:dyDescent="0.3">
      <c r="A32" s="14">
        <v>46134</v>
      </c>
      <c r="B32" s="22" t="s">
        <v>17</v>
      </c>
      <c r="C32" s="18">
        <v>8</v>
      </c>
      <c r="D32" s="2">
        <f t="shared" si="0"/>
        <v>200000</v>
      </c>
      <c r="E32" s="2">
        <f>C32*'Stok Gas'!$C$2</f>
        <v>168000</v>
      </c>
      <c r="F32" s="2">
        <f t="shared" si="1"/>
        <v>32000</v>
      </c>
      <c r="G32" s="1" t="s">
        <v>10</v>
      </c>
    </row>
    <row r="33" spans="1:7" x14ac:dyDescent="0.3">
      <c r="A33" s="14">
        <v>46134</v>
      </c>
      <c r="B33" s="22" t="s">
        <v>8</v>
      </c>
      <c r="C33" s="18">
        <v>2</v>
      </c>
      <c r="D33" s="2">
        <f t="shared" si="0"/>
        <v>50000</v>
      </c>
      <c r="E33" s="2">
        <f>C33*'Stok Gas'!$C$2</f>
        <v>42000</v>
      </c>
      <c r="F33" s="2">
        <f t="shared" si="1"/>
        <v>8000</v>
      </c>
      <c r="G33" s="1" t="s">
        <v>10</v>
      </c>
    </row>
    <row r="34" spans="1:7" x14ac:dyDescent="0.3">
      <c r="A34" s="14">
        <v>46135</v>
      </c>
      <c r="B34" s="22" t="s">
        <v>8</v>
      </c>
      <c r="C34" s="18">
        <v>2</v>
      </c>
      <c r="D34" s="2">
        <f t="shared" ref="D34:D65" si="2">C34*25000</f>
        <v>50000</v>
      </c>
      <c r="E34" s="2">
        <f>C34*'Stok Gas'!$C$2</f>
        <v>42000</v>
      </c>
      <c r="F34" s="2">
        <f t="shared" ref="F34:F70" si="3">D34-E34</f>
        <v>8000</v>
      </c>
      <c r="G34" s="1" t="s">
        <v>10</v>
      </c>
    </row>
    <row r="35" spans="1:7" x14ac:dyDescent="0.3">
      <c r="A35" s="14">
        <v>46136</v>
      </c>
      <c r="B35" s="22" t="s">
        <v>8</v>
      </c>
      <c r="C35" s="18">
        <v>1</v>
      </c>
      <c r="D35" s="2">
        <f t="shared" si="2"/>
        <v>25000</v>
      </c>
      <c r="E35" s="2">
        <f>C35*'Stok Gas'!$C$2</f>
        <v>21000</v>
      </c>
      <c r="F35" s="2">
        <f t="shared" si="3"/>
        <v>4000</v>
      </c>
      <c r="G35" s="1" t="s">
        <v>10</v>
      </c>
    </row>
    <row r="36" spans="1:7" x14ac:dyDescent="0.3">
      <c r="A36" s="14">
        <v>46137</v>
      </c>
      <c r="B36" s="22" t="s">
        <v>17</v>
      </c>
      <c r="C36" s="18">
        <v>2</v>
      </c>
      <c r="D36" s="2">
        <f t="shared" si="2"/>
        <v>50000</v>
      </c>
      <c r="E36" s="2">
        <f>C36*'Stok Gas'!$C$2</f>
        <v>42000</v>
      </c>
      <c r="F36" s="2">
        <f t="shared" si="3"/>
        <v>8000</v>
      </c>
      <c r="G36" s="1" t="s">
        <v>10</v>
      </c>
    </row>
    <row r="37" spans="1:7" x14ac:dyDescent="0.3">
      <c r="A37" s="14">
        <v>46138</v>
      </c>
      <c r="B37" s="22" t="s">
        <v>17</v>
      </c>
      <c r="C37" s="18">
        <v>4</v>
      </c>
      <c r="D37" s="2">
        <f t="shared" si="2"/>
        <v>100000</v>
      </c>
      <c r="E37" s="2">
        <f>C37*'Stok Gas'!$C$2</f>
        <v>84000</v>
      </c>
      <c r="F37" s="2">
        <f t="shared" si="3"/>
        <v>16000</v>
      </c>
      <c r="G37" s="1" t="s">
        <v>10</v>
      </c>
    </row>
    <row r="38" spans="1:7" x14ac:dyDescent="0.3">
      <c r="A38" s="14">
        <v>46138</v>
      </c>
      <c r="B38" s="22" t="s">
        <v>17</v>
      </c>
      <c r="C38" s="18">
        <v>2</v>
      </c>
      <c r="D38" s="2">
        <f t="shared" si="2"/>
        <v>50000</v>
      </c>
      <c r="E38" s="2">
        <f>C38*'Stok Gas'!$C$2</f>
        <v>42000</v>
      </c>
      <c r="F38" s="2">
        <f t="shared" si="3"/>
        <v>8000</v>
      </c>
      <c r="G38" s="1" t="s">
        <v>10</v>
      </c>
    </row>
    <row r="39" spans="1:7" x14ac:dyDescent="0.3">
      <c r="A39" s="14">
        <v>46138</v>
      </c>
      <c r="B39" s="22" t="s">
        <v>8</v>
      </c>
      <c r="C39" s="18">
        <v>2</v>
      </c>
      <c r="D39" s="2">
        <f t="shared" si="2"/>
        <v>50000</v>
      </c>
      <c r="E39" s="2">
        <f>C39*'Stok Gas'!$C$2</f>
        <v>42000</v>
      </c>
      <c r="F39" s="2">
        <f t="shared" si="3"/>
        <v>8000</v>
      </c>
      <c r="G39" s="1" t="s">
        <v>10</v>
      </c>
    </row>
    <row r="40" spans="1:7" x14ac:dyDescent="0.3">
      <c r="A40" s="14">
        <v>46139</v>
      </c>
      <c r="B40" s="22" t="s">
        <v>8</v>
      </c>
      <c r="C40" s="18">
        <v>3</v>
      </c>
      <c r="D40" s="2">
        <f t="shared" si="2"/>
        <v>75000</v>
      </c>
      <c r="E40" s="2">
        <f>C40*'Stok Gas'!$C$2</f>
        <v>63000</v>
      </c>
      <c r="F40" s="2">
        <f t="shared" si="3"/>
        <v>12000</v>
      </c>
      <c r="G40" s="1" t="s">
        <v>10</v>
      </c>
    </row>
    <row r="41" spans="1:7" x14ac:dyDescent="0.3">
      <c r="A41" s="14">
        <v>46139</v>
      </c>
      <c r="B41" s="22" t="s">
        <v>17</v>
      </c>
      <c r="C41" s="18">
        <v>4</v>
      </c>
      <c r="D41" s="2">
        <f t="shared" si="2"/>
        <v>100000</v>
      </c>
      <c r="E41" s="2">
        <f>C41*'Stok Gas'!$C$2</f>
        <v>84000</v>
      </c>
      <c r="F41" s="2">
        <f t="shared" si="3"/>
        <v>16000</v>
      </c>
      <c r="G41" s="1" t="s">
        <v>10</v>
      </c>
    </row>
    <row r="42" spans="1:7" x14ac:dyDescent="0.3">
      <c r="A42" s="14">
        <v>46139</v>
      </c>
      <c r="B42" s="22" t="s">
        <v>7</v>
      </c>
      <c r="C42" s="18">
        <v>2</v>
      </c>
      <c r="D42" s="2">
        <f t="shared" si="2"/>
        <v>50000</v>
      </c>
      <c r="E42" s="2">
        <f>C42*'Stok Gas'!$C$2</f>
        <v>42000</v>
      </c>
      <c r="F42" s="2">
        <f t="shared" si="3"/>
        <v>8000</v>
      </c>
      <c r="G42" s="1" t="s">
        <v>10</v>
      </c>
    </row>
    <row r="43" spans="1:7" x14ac:dyDescent="0.3">
      <c r="A43" s="14">
        <v>46140</v>
      </c>
      <c r="B43" s="22" t="s">
        <v>17</v>
      </c>
      <c r="C43" s="18">
        <v>1</v>
      </c>
      <c r="D43" s="2">
        <f t="shared" si="2"/>
        <v>25000</v>
      </c>
      <c r="E43" s="2">
        <f>C43*'Stok Gas'!$C$2</f>
        <v>21000</v>
      </c>
      <c r="F43" s="2">
        <f t="shared" si="3"/>
        <v>4000</v>
      </c>
      <c r="G43" s="1" t="s">
        <v>10</v>
      </c>
    </row>
    <row r="44" spans="1:7" x14ac:dyDescent="0.3">
      <c r="A44" s="14">
        <v>46141</v>
      </c>
      <c r="B44" s="22" t="s">
        <v>20</v>
      </c>
      <c r="C44" s="18">
        <v>1</v>
      </c>
      <c r="D44" s="2">
        <f t="shared" si="2"/>
        <v>25000</v>
      </c>
      <c r="E44" s="2">
        <f>C44*'Stok Gas'!$C$2</f>
        <v>21000</v>
      </c>
      <c r="F44" s="2">
        <f t="shared" si="3"/>
        <v>4000</v>
      </c>
      <c r="G44" s="1" t="s">
        <v>10</v>
      </c>
    </row>
    <row r="45" spans="1:7" x14ac:dyDescent="0.3">
      <c r="A45" s="14">
        <v>46142</v>
      </c>
      <c r="B45" s="22" t="s">
        <v>17</v>
      </c>
      <c r="C45" s="18">
        <v>4</v>
      </c>
      <c r="D45" s="2">
        <f t="shared" si="2"/>
        <v>100000</v>
      </c>
      <c r="E45" s="2">
        <f>C45*'Stok Gas'!$C$2</f>
        <v>84000</v>
      </c>
      <c r="F45" s="2">
        <f t="shared" si="3"/>
        <v>16000</v>
      </c>
      <c r="G45" s="1" t="s">
        <v>10</v>
      </c>
    </row>
    <row r="46" spans="1:7" x14ac:dyDescent="0.3">
      <c r="A46" s="14">
        <v>46142</v>
      </c>
      <c r="B46" s="22" t="s">
        <v>17</v>
      </c>
      <c r="C46" s="18">
        <v>4</v>
      </c>
      <c r="D46" s="2">
        <f t="shared" si="2"/>
        <v>100000</v>
      </c>
      <c r="E46" s="2">
        <f>C46*'Stok Gas'!$C$2</f>
        <v>84000</v>
      </c>
      <c r="F46" s="2">
        <f t="shared" si="3"/>
        <v>16000</v>
      </c>
      <c r="G46" s="1" t="s">
        <v>10</v>
      </c>
    </row>
    <row r="47" spans="1:7" x14ac:dyDescent="0.3">
      <c r="A47" s="14">
        <v>46142</v>
      </c>
      <c r="B47" s="22" t="s">
        <v>17</v>
      </c>
      <c r="C47" s="18">
        <v>2</v>
      </c>
      <c r="D47" s="2">
        <f t="shared" si="2"/>
        <v>50000</v>
      </c>
      <c r="E47" s="2">
        <f>C47*'Stok Gas'!$C$2</f>
        <v>42000</v>
      </c>
      <c r="F47" s="2">
        <f t="shared" si="3"/>
        <v>8000</v>
      </c>
      <c r="G47" s="1" t="s">
        <v>10</v>
      </c>
    </row>
    <row r="48" spans="1:7" x14ac:dyDescent="0.3">
      <c r="A48" s="14">
        <v>46142</v>
      </c>
      <c r="B48" s="22" t="s">
        <v>14</v>
      </c>
      <c r="C48" s="18">
        <v>2</v>
      </c>
      <c r="D48" s="2">
        <f t="shared" si="2"/>
        <v>50000</v>
      </c>
      <c r="E48" s="2">
        <f>C48*'Stok Gas'!$C$2</f>
        <v>42000</v>
      </c>
      <c r="F48" s="2">
        <f t="shared" si="3"/>
        <v>8000</v>
      </c>
      <c r="G48" s="1" t="s">
        <v>10</v>
      </c>
    </row>
    <row r="49" spans="1:7" x14ac:dyDescent="0.3">
      <c r="A49" s="14">
        <v>46142</v>
      </c>
      <c r="B49" s="22" t="s">
        <v>8</v>
      </c>
      <c r="C49" s="18">
        <v>1</v>
      </c>
      <c r="D49" s="2">
        <f t="shared" si="2"/>
        <v>25000</v>
      </c>
      <c r="E49" s="2">
        <f>C49*'Stok Gas'!$C$2</f>
        <v>21000</v>
      </c>
      <c r="F49" s="2">
        <f t="shared" si="3"/>
        <v>4000</v>
      </c>
      <c r="G49" s="1" t="s">
        <v>10</v>
      </c>
    </row>
    <row r="50" spans="1:7" x14ac:dyDescent="0.3">
      <c r="A50" s="14">
        <v>46143</v>
      </c>
      <c r="B50" s="22" t="s">
        <v>17</v>
      </c>
      <c r="C50" s="18">
        <v>4</v>
      </c>
      <c r="D50" s="2">
        <f t="shared" si="2"/>
        <v>100000</v>
      </c>
      <c r="E50" s="2">
        <f>C50*'Stok Gas'!$C$2</f>
        <v>84000</v>
      </c>
      <c r="F50" s="2">
        <f t="shared" si="3"/>
        <v>16000</v>
      </c>
      <c r="G50" s="1" t="s">
        <v>10</v>
      </c>
    </row>
    <row r="51" spans="1:7" x14ac:dyDescent="0.3">
      <c r="A51" s="14">
        <v>46143</v>
      </c>
      <c r="B51" s="22" t="s">
        <v>8</v>
      </c>
      <c r="C51" s="18">
        <v>1</v>
      </c>
      <c r="D51" s="2">
        <f t="shared" si="2"/>
        <v>25000</v>
      </c>
      <c r="E51" s="2">
        <f>C51*'Stok Gas'!$C$2</f>
        <v>21000</v>
      </c>
      <c r="F51" s="2">
        <f t="shared" si="3"/>
        <v>4000</v>
      </c>
      <c r="G51" s="1" t="s">
        <v>10</v>
      </c>
    </row>
    <row r="52" spans="1:7" x14ac:dyDescent="0.3">
      <c r="A52" s="14">
        <v>46143</v>
      </c>
      <c r="B52" s="22" t="s">
        <v>8</v>
      </c>
      <c r="C52" s="18">
        <v>1</v>
      </c>
      <c r="D52" s="2">
        <f t="shared" si="2"/>
        <v>25000</v>
      </c>
      <c r="E52" s="2">
        <f>C52*'Stok Gas'!$C$2</f>
        <v>21000</v>
      </c>
      <c r="F52" s="2">
        <f t="shared" si="3"/>
        <v>4000</v>
      </c>
      <c r="G52" s="1" t="s">
        <v>10</v>
      </c>
    </row>
    <row r="53" spans="1:7" x14ac:dyDescent="0.3">
      <c r="A53" s="14">
        <v>46144</v>
      </c>
      <c r="B53" s="22" t="s">
        <v>17</v>
      </c>
      <c r="C53" s="18">
        <v>4</v>
      </c>
      <c r="D53" s="2">
        <f t="shared" si="2"/>
        <v>100000</v>
      </c>
      <c r="E53" s="2">
        <f>C53*'Stok Gas'!$C$2</f>
        <v>84000</v>
      </c>
      <c r="F53" s="2">
        <f t="shared" si="3"/>
        <v>16000</v>
      </c>
      <c r="G53" s="1" t="s">
        <v>10</v>
      </c>
    </row>
    <row r="54" spans="1:7" x14ac:dyDescent="0.3">
      <c r="A54" s="14">
        <v>46145</v>
      </c>
      <c r="B54" s="22" t="s">
        <v>8</v>
      </c>
      <c r="C54" s="18">
        <v>3</v>
      </c>
      <c r="D54" s="2">
        <f t="shared" si="2"/>
        <v>75000</v>
      </c>
      <c r="E54" s="2">
        <f>C54*'Stok Gas'!$C$2</f>
        <v>63000</v>
      </c>
      <c r="F54" s="2">
        <f t="shared" si="3"/>
        <v>12000</v>
      </c>
      <c r="G54" s="1" t="s">
        <v>10</v>
      </c>
    </row>
    <row r="55" spans="1:7" x14ac:dyDescent="0.3">
      <c r="A55" s="14">
        <v>46146</v>
      </c>
      <c r="B55" s="22" t="s">
        <v>17</v>
      </c>
      <c r="C55" s="18">
        <v>3</v>
      </c>
      <c r="D55" s="2">
        <f t="shared" si="2"/>
        <v>75000</v>
      </c>
      <c r="E55" s="2">
        <f>C55*'Stok Gas'!$C$2</f>
        <v>63000</v>
      </c>
      <c r="F55" s="2">
        <f t="shared" si="3"/>
        <v>12000</v>
      </c>
      <c r="G55" s="1" t="s">
        <v>10</v>
      </c>
    </row>
    <row r="56" spans="1:7" x14ac:dyDescent="0.3">
      <c r="A56" s="14">
        <v>46147</v>
      </c>
      <c r="B56" s="22" t="s">
        <v>17</v>
      </c>
      <c r="C56" s="18">
        <v>4</v>
      </c>
      <c r="D56" s="2">
        <f t="shared" si="2"/>
        <v>100000</v>
      </c>
      <c r="E56" s="2">
        <f>C56*'Stok Gas'!$C$2</f>
        <v>84000</v>
      </c>
      <c r="F56" s="2">
        <f t="shared" si="3"/>
        <v>16000</v>
      </c>
      <c r="G56" s="1" t="s">
        <v>10</v>
      </c>
    </row>
    <row r="57" spans="1:7" x14ac:dyDescent="0.3">
      <c r="A57" s="14">
        <v>46147</v>
      </c>
      <c r="B57" s="22" t="s">
        <v>8</v>
      </c>
      <c r="C57" s="18">
        <v>1</v>
      </c>
      <c r="D57" s="2">
        <f t="shared" si="2"/>
        <v>25000</v>
      </c>
      <c r="E57" s="2">
        <f>C57*'Stok Gas'!$C$2</f>
        <v>21000</v>
      </c>
      <c r="F57" s="2">
        <f t="shared" si="3"/>
        <v>4000</v>
      </c>
      <c r="G57" s="1" t="s">
        <v>10</v>
      </c>
    </row>
    <row r="58" spans="1:7" x14ac:dyDescent="0.3">
      <c r="A58" s="14">
        <v>46147</v>
      </c>
      <c r="B58" s="22" t="s">
        <v>7</v>
      </c>
      <c r="C58" s="18">
        <v>2</v>
      </c>
      <c r="D58" s="2">
        <f t="shared" si="2"/>
        <v>50000</v>
      </c>
      <c r="E58" s="2">
        <f>C58*'Stok Gas'!$C$2</f>
        <v>42000</v>
      </c>
      <c r="F58" s="2">
        <f t="shared" si="3"/>
        <v>8000</v>
      </c>
      <c r="G58" s="1" t="s">
        <v>10</v>
      </c>
    </row>
    <row r="59" spans="1:7" x14ac:dyDescent="0.3">
      <c r="A59" s="14">
        <v>46148</v>
      </c>
      <c r="B59" s="22" t="s">
        <v>17</v>
      </c>
      <c r="C59" s="18">
        <v>6</v>
      </c>
      <c r="D59" s="2">
        <f t="shared" si="2"/>
        <v>150000</v>
      </c>
      <c r="E59" s="2">
        <f>C59*'Stok Gas'!$C$2</f>
        <v>126000</v>
      </c>
      <c r="F59" s="2">
        <f t="shared" si="3"/>
        <v>24000</v>
      </c>
      <c r="G59" s="1" t="s">
        <v>10</v>
      </c>
    </row>
    <row r="60" spans="1:7" x14ac:dyDescent="0.3">
      <c r="A60" s="14">
        <v>46148</v>
      </c>
      <c r="B60" s="22" t="s">
        <v>8</v>
      </c>
      <c r="C60" s="18">
        <v>3</v>
      </c>
      <c r="D60" s="2">
        <f t="shared" si="2"/>
        <v>75000</v>
      </c>
      <c r="E60" s="2">
        <f>C60*'Stok Gas'!$C$2</f>
        <v>63000</v>
      </c>
      <c r="F60" s="2">
        <f t="shared" si="3"/>
        <v>12000</v>
      </c>
      <c r="G60" s="1" t="s">
        <v>10</v>
      </c>
    </row>
    <row r="61" spans="1:7" x14ac:dyDescent="0.3">
      <c r="A61" s="14">
        <v>46149</v>
      </c>
      <c r="B61" s="22" t="s">
        <v>17</v>
      </c>
      <c r="C61" s="18">
        <v>4</v>
      </c>
      <c r="D61" s="2">
        <f t="shared" si="2"/>
        <v>100000</v>
      </c>
      <c r="E61" s="2">
        <f>C61*'Stok Gas'!$C$2</f>
        <v>84000</v>
      </c>
      <c r="F61" s="2">
        <f t="shared" si="3"/>
        <v>16000</v>
      </c>
      <c r="G61" s="1" t="s">
        <v>10</v>
      </c>
    </row>
    <row r="62" spans="1:7" x14ac:dyDescent="0.3">
      <c r="A62" s="14">
        <v>46149</v>
      </c>
      <c r="B62" s="22" t="s">
        <v>14</v>
      </c>
      <c r="C62" s="18">
        <v>2</v>
      </c>
      <c r="D62" s="2">
        <f t="shared" si="2"/>
        <v>50000</v>
      </c>
      <c r="E62" s="2">
        <f>C62*'Stok Gas'!$C$2</f>
        <v>42000</v>
      </c>
      <c r="F62" s="2">
        <f t="shared" si="3"/>
        <v>8000</v>
      </c>
      <c r="G62" s="1" t="s">
        <v>10</v>
      </c>
    </row>
    <row r="63" spans="1:7" x14ac:dyDescent="0.3">
      <c r="A63" s="14">
        <v>46149</v>
      </c>
      <c r="B63" s="22" t="s">
        <v>8</v>
      </c>
      <c r="C63" s="18">
        <v>1</v>
      </c>
      <c r="D63" s="2">
        <f t="shared" si="2"/>
        <v>25000</v>
      </c>
      <c r="E63" s="2">
        <f>C63*'Stok Gas'!$C$2</f>
        <v>21000</v>
      </c>
      <c r="F63" s="2">
        <f t="shared" si="3"/>
        <v>4000</v>
      </c>
      <c r="G63" s="1" t="s">
        <v>10</v>
      </c>
    </row>
    <row r="64" spans="1:7" x14ac:dyDescent="0.3">
      <c r="A64" s="14">
        <v>46151</v>
      </c>
      <c r="B64" s="22" t="s">
        <v>8</v>
      </c>
      <c r="C64" s="18">
        <v>2</v>
      </c>
      <c r="D64" s="2">
        <f t="shared" si="2"/>
        <v>50000</v>
      </c>
      <c r="E64" s="2">
        <f>C64*'Stok Gas'!$C$2</f>
        <v>42000</v>
      </c>
      <c r="F64" s="2">
        <f t="shared" si="3"/>
        <v>8000</v>
      </c>
      <c r="G64" s="1" t="s">
        <v>10</v>
      </c>
    </row>
    <row r="65" spans="1:7" x14ac:dyDescent="0.3">
      <c r="A65" s="15">
        <v>46151</v>
      </c>
      <c r="B65" s="23" t="s">
        <v>8</v>
      </c>
      <c r="C65" s="19">
        <v>2</v>
      </c>
      <c r="D65" s="8">
        <f t="shared" si="2"/>
        <v>50000</v>
      </c>
      <c r="E65" s="2">
        <f>C65*'Stok Gas'!$C$2</f>
        <v>42000</v>
      </c>
      <c r="F65" s="2">
        <f t="shared" si="3"/>
        <v>8000</v>
      </c>
      <c r="G65" s="1" t="s">
        <v>10</v>
      </c>
    </row>
    <row r="66" spans="1:7" x14ac:dyDescent="0.3">
      <c r="A66" s="15">
        <v>46152</v>
      </c>
      <c r="B66" s="23" t="s">
        <v>17</v>
      </c>
      <c r="C66" s="19">
        <v>4</v>
      </c>
      <c r="D66" s="8">
        <f t="shared" ref="D66:D70" si="4">C66*25000</f>
        <v>100000</v>
      </c>
      <c r="E66" s="2">
        <f>C66*'Stok Gas'!$C$2</f>
        <v>84000</v>
      </c>
      <c r="F66" s="2">
        <f t="shared" si="3"/>
        <v>16000</v>
      </c>
      <c r="G66" s="1" t="s">
        <v>10</v>
      </c>
    </row>
    <row r="67" spans="1:7" x14ac:dyDescent="0.3">
      <c r="A67" s="16">
        <v>46153</v>
      </c>
      <c r="B67" s="23" t="s">
        <v>8</v>
      </c>
      <c r="C67" s="19">
        <v>1</v>
      </c>
      <c r="D67" s="8">
        <f t="shared" si="4"/>
        <v>25000</v>
      </c>
      <c r="E67" s="2">
        <f>C67*'Stok Gas'!$C$2</f>
        <v>21000</v>
      </c>
      <c r="F67" s="2">
        <f t="shared" si="3"/>
        <v>4000</v>
      </c>
      <c r="G67" s="1" t="s">
        <v>10</v>
      </c>
    </row>
    <row r="68" spans="1:7" x14ac:dyDescent="0.3">
      <c r="A68" s="16">
        <v>46153</v>
      </c>
      <c r="B68" s="23" t="s">
        <v>8</v>
      </c>
      <c r="C68" s="19">
        <v>2</v>
      </c>
      <c r="D68" s="8">
        <f t="shared" si="4"/>
        <v>50000</v>
      </c>
      <c r="E68" s="2">
        <f>C68*'Stok Gas'!$C$2</f>
        <v>42000</v>
      </c>
      <c r="F68" s="2">
        <f t="shared" si="3"/>
        <v>8000</v>
      </c>
      <c r="G68" s="1" t="s">
        <v>10</v>
      </c>
    </row>
    <row r="69" spans="1:7" x14ac:dyDescent="0.3">
      <c r="A69" s="16">
        <v>46153</v>
      </c>
      <c r="B69" s="23" t="s">
        <v>17</v>
      </c>
      <c r="C69" s="19">
        <v>4</v>
      </c>
      <c r="D69" s="8">
        <f t="shared" si="4"/>
        <v>100000</v>
      </c>
      <c r="E69" s="2">
        <f>C69*'Stok Gas'!$C$2</f>
        <v>84000</v>
      </c>
      <c r="F69" s="2">
        <f t="shared" si="3"/>
        <v>16000</v>
      </c>
      <c r="G69" s="1" t="s">
        <v>10</v>
      </c>
    </row>
    <row r="70" spans="1:7" x14ac:dyDescent="0.3">
      <c r="A70" s="16">
        <v>46154</v>
      </c>
      <c r="B70" s="23" t="s">
        <v>17</v>
      </c>
      <c r="C70" s="19">
        <v>5</v>
      </c>
      <c r="D70" s="8">
        <f t="shared" si="4"/>
        <v>125000</v>
      </c>
      <c r="E70" s="2">
        <f>C70*'Stok Gas'!$C$2</f>
        <v>105000</v>
      </c>
      <c r="F70" s="2">
        <f t="shared" si="3"/>
        <v>20000</v>
      </c>
      <c r="G70" s="1" t="s">
        <v>10</v>
      </c>
    </row>
    <row r="71" spans="1:7" x14ac:dyDescent="0.3">
      <c r="A71" s="16">
        <v>46154</v>
      </c>
      <c r="B71" s="23" t="s">
        <v>17</v>
      </c>
      <c r="C71" s="19">
        <v>3</v>
      </c>
      <c r="D71" s="8">
        <f t="shared" ref="D71:D107" si="5">C71*25000</f>
        <v>75000</v>
      </c>
      <c r="E71" s="2">
        <f>C71*'Stok Gas'!$C$2</f>
        <v>63000</v>
      </c>
      <c r="F71" s="2">
        <f t="shared" ref="F71:F78" si="6">D71-E71</f>
        <v>12000</v>
      </c>
      <c r="G71" s="1" t="s">
        <v>10</v>
      </c>
    </row>
    <row r="72" spans="1:7" x14ac:dyDescent="0.3">
      <c r="A72" s="16">
        <v>46155</v>
      </c>
      <c r="B72" s="23" t="s">
        <v>17</v>
      </c>
      <c r="C72" s="19">
        <v>1</v>
      </c>
      <c r="D72" s="8">
        <f t="shared" si="5"/>
        <v>25000</v>
      </c>
      <c r="E72" s="2">
        <f>C72*'Stok Gas'!$C$2</f>
        <v>21000</v>
      </c>
      <c r="F72" s="2">
        <f t="shared" si="6"/>
        <v>4000</v>
      </c>
      <c r="G72" s="1" t="s">
        <v>10</v>
      </c>
    </row>
    <row r="73" spans="1:7" x14ac:dyDescent="0.3">
      <c r="A73" s="16">
        <v>46156</v>
      </c>
      <c r="B73" s="23" t="s">
        <v>17</v>
      </c>
      <c r="C73" s="19">
        <v>4</v>
      </c>
      <c r="D73" s="8">
        <f t="shared" si="5"/>
        <v>100000</v>
      </c>
      <c r="E73" s="2">
        <f>C73*'Stok Gas'!$C$2</f>
        <v>84000</v>
      </c>
      <c r="F73" s="2">
        <f t="shared" si="6"/>
        <v>16000</v>
      </c>
      <c r="G73" s="1" t="s">
        <v>10</v>
      </c>
    </row>
    <row r="74" spans="1:7" x14ac:dyDescent="0.3">
      <c r="A74" s="16">
        <v>46156</v>
      </c>
      <c r="B74" s="23" t="s">
        <v>7</v>
      </c>
      <c r="C74" s="19">
        <v>2</v>
      </c>
      <c r="D74" s="8">
        <f t="shared" si="5"/>
        <v>50000</v>
      </c>
      <c r="E74" s="2">
        <f>C74*'Stok Gas'!$C$2</f>
        <v>42000</v>
      </c>
      <c r="F74" s="2">
        <f t="shared" si="6"/>
        <v>8000</v>
      </c>
      <c r="G74" s="1" t="s">
        <v>10</v>
      </c>
    </row>
    <row r="75" spans="1:7" x14ac:dyDescent="0.3">
      <c r="A75" s="16">
        <v>46156</v>
      </c>
      <c r="B75" s="23" t="s">
        <v>8</v>
      </c>
      <c r="C75" s="19">
        <v>1</v>
      </c>
      <c r="D75" s="8">
        <f t="shared" si="5"/>
        <v>25000</v>
      </c>
      <c r="E75" s="2">
        <f>C75*'Stok Gas'!$C$2</f>
        <v>21000</v>
      </c>
      <c r="F75" s="2">
        <f t="shared" si="6"/>
        <v>4000</v>
      </c>
      <c r="G75" s="1" t="s">
        <v>10</v>
      </c>
    </row>
    <row r="76" spans="1:7" x14ac:dyDescent="0.3">
      <c r="A76" s="16">
        <v>46156</v>
      </c>
      <c r="B76" s="23" t="s">
        <v>15</v>
      </c>
      <c r="C76" s="19">
        <v>1</v>
      </c>
      <c r="D76" s="8">
        <f t="shared" si="5"/>
        <v>25000</v>
      </c>
      <c r="E76" s="2">
        <f>C76*'Stok Gas'!$C$2</f>
        <v>21000</v>
      </c>
      <c r="F76" s="2">
        <f t="shared" si="6"/>
        <v>4000</v>
      </c>
      <c r="G76" s="1" t="s">
        <v>10</v>
      </c>
    </row>
    <row r="77" spans="1:7" x14ac:dyDescent="0.3">
      <c r="A77" s="16">
        <v>46156</v>
      </c>
      <c r="B77" s="23" t="s">
        <v>8</v>
      </c>
      <c r="C77" s="19">
        <v>2</v>
      </c>
      <c r="D77" s="8">
        <f t="shared" si="5"/>
        <v>50000</v>
      </c>
      <c r="E77" s="2">
        <f>C77*'Stok Gas'!$C$2</f>
        <v>42000</v>
      </c>
      <c r="F77" s="2">
        <f t="shared" si="6"/>
        <v>8000</v>
      </c>
      <c r="G77" s="1" t="s">
        <v>10</v>
      </c>
    </row>
    <row r="78" spans="1:7" x14ac:dyDescent="0.3">
      <c r="A78" s="16">
        <v>46156</v>
      </c>
      <c r="B78" s="23" t="s">
        <v>17</v>
      </c>
      <c r="C78" s="19">
        <v>2</v>
      </c>
      <c r="D78" s="8">
        <f t="shared" si="5"/>
        <v>50000</v>
      </c>
      <c r="E78" s="2">
        <f>C78*'Stok Gas'!$C$2</f>
        <v>42000</v>
      </c>
      <c r="F78" s="2">
        <f t="shared" si="6"/>
        <v>8000</v>
      </c>
      <c r="G78" s="1" t="s">
        <v>10</v>
      </c>
    </row>
    <row r="79" spans="1:7" x14ac:dyDescent="0.3">
      <c r="A79" s="16">
        <v>46157</v>
      </c>
      <c r="B79" s="23" t="s">
        <v>20</v>
      </c>
      <c r="C79" s="19">
        <v>1</v>
      </c>
      <c r="D79" s="8">
        <f t="shared" si="5"/>
        <v>25000</v>
      </c>
      <c r="E79" s="2">
        <f>C79*'Stok Gas'!$C$2</f>
        <v>21000</v>
      </c>
      <c r="F79" s="2">
        <f t="shared" ref="F79" si="7">D79-E79</f>
        <v>4000</v>
      </c>
      <c r="G79" s="1" t="s">
        <v>10</v>
      </c>
    </row>
    <row r="80" spans="1:7" x14ac:dyDescent="0.3">
      <c r="A80" s="16">
        <v>46157</v>
      </c>
      <c r="B80" s="23" t="s">
        <v>17</v>
      </c>
      <c r="C80" s="19">
        <v>4</v>
      </c>
      <c r="D80" s="8">
        <f>C80*25000</f>
        <v>100000</v>
      </c>
      <c r="E80" s="2">
        <f>C80*'Stok Gas'!$C$2</f>
        <v>84000</v>
      </c>
      <c r="F80" s="2">
        <f>D80-E80</f>
        <v>16000</v>
      </c>
      <c r="G80" s="1" t="s">
        <v>10</v>
      </c>
    </row>
    <row r="81" spans="1:7" x14ac:dyDescent="0.3">
      <c r="A81" s="16">
        <v>46157</v>
      </c>
      <c r="B81" s="23" t="s">
        <v>8</v>
      </c>
      <c r="C81" s="19">
        <v>2</v>
      </c>
      <c r="D81" s="8">
        <f>C81*25000</f>
        <v>50000</v>
      </c>
      <c r="E81" s="2">
        <f>C81*'Stok Gas'!$C$2</f>
        <v>42000</v>
      </c>
      <c r="F81" s="2">
        <f>D81-E81</f>
        <v>8000</v>
      </c>
      <c r="G81" s="1" t="s">
        <v>10</v>
      </c>
    </row>
    <row r="82" spans="1:7" x14ac:dyDescent="0.3">
      <c r="A82" s="16">
        <v>46158</v>
      </c>
      <c r="B82" s="23" t="s">
        <v>8</v>
      </c>
      <c r="C82" s="19">
        <v>2</v>
      </c>
      <c r="D82" s="8">
        <f t="shared" si="5"/>
        <v>50000</v>
      </c>
      <c r="E82" s="2">
        <f>C82*'Stok Gas'!$C$2</f>
        <v>42000</v>
      </c>
      <c r="F82" s="2">
        <f t="shared" ref="F82:F106" si="8">D82-E82</f>
        <v>8000</v>
      </c>
      <c r="G82" s="1" t="s">
        <v>10</v>
      </c>
    </row>
    <row r="83" spans="1:7" x14ac:dyDescent="0.3">
      <c r="A83" s="16">
        <v>46159</v>
      </c>
      <c r="B83" s="23" t="s">
        <v>8</v>
      </c>
      <c r="C83" s="19">
        <v>2</v>
      </c>
      <c r="D83" s="8">
        <f t="shared" si="5"/>
        <v>50000</v>
      </c>
      <c r="E83" s="2">
        <f>C83*'Stok Gas'!$C$2</f>
        <v>42000</v>
      </c>
      <c r="F83" s="2">
        <f t="shared" si="8"/>
        <v>8000</v>
      </c>
      <c r="G83" s="1" t="s">
        <v>10</v>
      </c>
    </row>
    <row r="84" spans="1:7" x14ac:dyDescent="0.3">
      <c r="A84" s="16">
        <v>46160</v>
      </c>
      <c r="B84" s="23" t="s">
        <v>17</v>
      </c>
      <c r="C84" s="19">
        <v>2</v>
      </c>
      <c r="D84" s="8">
        <f t="shared" si="5"/>
        <v>50000</v>
      </c>
      <c r="E84" s="2">
        <f>C84*'Stok Gas'!$C$2</f>
        <v>42000</v>
      </c>
      <c r="F84" s="2">
        <f t="shared" si="8"/>
        <v>8000</v>
      </c>
      <c r="G84" s="7" t="s">
        <v>10</v>
      </c>
    </row>
    <row r="85" spans="1:7" x14ac:dyDescent="0.3">
      <c r="A85" s="15">
        <v>46160</v>
      </c>
      <c r="B85" s="23" t="s">
        <v>17</v>
      </c>
      <c r="C85" s="19">
        <v>4</v>
      </c>
      <c r="D85" s="8">
        <f t="shared" si="5"/>
        <v>100000</v>
      </c>
      <c r="E85" s="2">
        <f>C85*'Stok Gas'!$C$2</f>
        <v>84000</v>
      </c>
      <c r="F85" s="2">
        <f t="shared" si="8"/>
        <v>16000</v>
      </c>
      <c r="G85" s="7" t="s">
        <v>10</v>
      </c>
    </row>
    <row r="86" spans="1:7" x14ac:dyDescent="0.3">
      <c r="A86" s="15">
        <v>46161</v>
      </c>
      <c r="B86" s="23" t="s">
        <v>17</v>
      </c>
      <c r="C86" s="19">
        <v>6</v>
      </c>
      <c r="D86" s="8">
        <f t="shared" si="5"/>
        <v>150000</v>
      </c>
      <c r="E86" s="2">
        <f>C86*'Stok Gas'!$C$2</f>
        <v>126000</v>
      </c>
      <c r="F86" s="2">
        <f t="shared" si="8"/>
        <v>24000</v>
      </c>
      <c r="G86" s="7" t="s">
        <v>10</v>
      </c>
    </row>
    <row r="87" spans="1:7" x14ac:dyDescent="0.3">
      <c r="A87" s="15">
        <v>46161</v>
      </c>
      <c r="B87" s="23" t="s">
        <v>8</v>
      </c>
      <c r="C87" s="19">
        <v>1</v>
      </c>
      <c r="D87" s="8">
        <f t="shared" si="5"/>
        <v>25000</v>
      </c>
      <c r="E87" s="2">
        <f>C87*'Stok Gas'!$C$2</f>
        <v>21000</v>
      </c>
      <c r="F87" s="2">
        <f t="shared" si="8"/>
        <v>4000</v>
      </c>
      <c r="G87" s="7" t="s">
        <v>10</v>
      </c>
    </row>
    <row r="88" spans="1:7" x14ac:dyDescent="0.3">
      <c r="A88" s="15">
        <v>46162</v>
      </c>
      <c r="B88" s="23" t="s">
        <v>8</v>
      </c>
      <c r="C88" s="19">
        <v>2</v>
      </c>
      <c r="D88" s="8">
        <f t="shared" si="5"/>
        <v>50000</v>
      </c>
      <c r="E88" s="2">
        <f>C88*'Stok Gas'!$C$2</f>
        <v>42000</v>
      </c>
      <c r="F88" s="2">
        <f t="shared" si="8"/>
        <v>8000</v>
      </c>
      <c r="G88" s="7" t="s">
        <v>10</v>
      </c>
    </row>
    <row r="89" spans="1:7" x14ac:dyDescent="0.3">
      <c r="A89" s="15">
        <v>46162</v>
      </c>
      <c r="B89" s="23" t="s">
        <v>17</v>
      </c>
      <c r="C89" s="19">
        <v>8</v>
      </c>
      <c r="D89" s="8">
        <f t="shared" si="5"/>
        <v>200000</v>
      </c>
      <c r="E89" s="2">
        <f>C89*'Stok Gas'!$C$2</f>
        <v>168000</v>
      </c>
      <c r="F89" s="2">
        <f t="shared" si="8"/>
        <v>32000</v>
      </c>
      <c r="G89" s="7" t="s">
        <v>10</v>
      </c>
    </row>
    <row r="90" spans="1:7" x14ac:dyDescent="0.3">
      <c r="A90" s="15">
        <v>46162</v>
      </c>
      <c r="B90" s="23" t="s">
        <v>8</v>
      </c>
      <c r="C90" s="19">
        <v>1</v>
      </c>
      <c r="D90" s="8">
        <f t="shared" si="5"/>
        <v>25000</v>
      </c>
      <c r="E90" s="2">
        <f>C90*'Stok Gas'!$C$2</f>
        <v>21000</v>
      </c>
      <c r="F90" s="2">
        <f t="shared" si="8"/>
        <v>4000</v>
      </c>
      <c r="G90" s="7" t="s">
        <v>10</v>
      </c>
    </row>
    <row r="91" spans="1:7" x14ac:dyDescent="0.3">
      <c r="A91" s="15">
        <v>46162</v>
      </c>
      <c r="B91" s="23" t="s">
        <v>20</v>
      </c>
      <c r="C91" s="19">
        <v>1</v>
      </c>
      <c r="D91" s="8">
        <f t="shared" si="5"/>
        <v>25000</v>
      </c>
      <c r="E91" s="2">
        <f>C91*'Stok Gas'!$C$2</f>
        <v>21000</v>
      </c>
      <c r="F91" s="2">
        <f t="shared" si="8"/>
        <v>4000</v>
      </c>
      <c r="G91" s="7" t="s">
        <v>10</v>
      </c>
    </row>
    <row r="92" spans="1:7" x14ac:dyDescent="0.3">
      <c r="A92" s="15">
        <v>46162</v>
      </c>
      <c r="B92" s="23" t="s">
        <v>17</v>
      </c>
      <c r="C92" s="19">
        <v>2</v>
      </c>
      <c r="D92" s="8">
        <f t="shared" si="5"/>
        <v>50000</v>
      </c>
      <c r="E92" s="2">
        <f>C92*'Stok Gas'!$C$2</f>
        <v>42000</v>
      </c>
      <c r="F92" s="2">
        <f t="shared" si="8"/>
        <v>8000</v>
      </c>
      <c r="G92" s="7" t="s">
        <v>10</v>
      </c>
    </row>
    <row r="93" spans="1:7" x14ac:dyDescent="0.3">
      <c r="A93" s="15">
        <v>46163</v>
      </c>
      <c r="B93" s="23" t="s">
        <v>17</v>
      </c>
      <c r="C93" s="19">
        <v>8</v>
      </c>
      <c r="D93" s="8">
        <f t="shared" si="5"/>
        <v>200000</v>
      </c>
      <c r="E93" s="2">
        <f>C93*'Stok Gas'!$C$2</f>
        <v>168000</v>
      </c>
      <c r="F93" s="2">
        <f t="shared" si="8"/>
        <v>32000</v>
      </c>
      <c r="G93" s="7" t="s">
        <v>10</v>
      </c>
    </row>
    <row r="94" spans="1:7" x14ac:dyDescent="0.3">
      <c r="A94" s="15">
        <v>46163</v>
      </c>
      <c r="B94" s="23" t="s">
        <v>8</v>
      </c>
      <c r="C94" s="19">
        <v>2</v>
      </c>
      <c r="D94" s="8">
        <f t="shared" si="5"/>
        <v>50000</v>
      </c>
      <c r="E94" s="2">
        <f>C94*'Stok Gas'!$C$2</f>
        <v>42000</v>
      </c>
      <c r="F94" s="2">
        <f t="shared" si="8"/>
        <v>8000</v>
      </c>
      <c r="G94" s="7" t="s">
        <v>10</v>
      </c>
    </row>
    <row r="95" spans="1:7" x14ac:dyDescent="0.3">
      <c r="A95" s="15">
        <v>46166</v>
      </c>
      <c r="B95" s="23" t="s">
        <v>8</v>
      </c>
      <c r="C95" s="19">
        <v>2</v>
      </c>
      <c r="D95" s="8">
        <f t="shared" si="5"/>
        <v>50000</v>
      </c>
      <c r="E95" s="2">
        <f>C95*'Stok Gas'!$C$2</f>
        <v>42000</v>
      </c>
      <c r="F95" s="2">
        <f t="shared" si="8"/>
        <v>8000</v>
      </c>
      <c r="G95" s="7" t="s">
        <v>10</v>
      </c>
    </row>
    <row r="96" spans="1:7" x14ac:dyDescent="0.3">
      <c r="A96" s="15">
        <v>46167</v>
      </c>
      <c r="B96" s="23" t="s">
        <v>17</v>
      </c>
      <c r="C96" s="19">
        <v>6</v>
      </c>
      <c r="D96" s="8">
        <f t="shared" si="5"/>
        <v>150000</v>
      </c>
      <c r="E96" s="2">
        <f>C96*'Stok Gas'!$C$2</f>
        <v>126000</v>
      </c>
      <c r="F96" s="2">
        <f t="shared" si="8"/>
        <v>24000</v>
      </c>
      <c r="G96" s="7" t="s">
        <v>10</v>
      </c>
    </row>
    <row r="97" spans="1:7" x14ac:dyDescent="0.3">
      <c r="A97" s="15">
        <v>46167</v>
      </c>
      <c r="B97" s="23" t="s">
        <v>8</v>
      </c>
      <c r="C97" s="19">
        <v>2</v>
      </c>
      <c r="D97" s="8">
        <f t="shared" si="5"/>
        <v>50000</v>
      </c>
      <c r="E97" s="2">
        <f>C97*'Stok Gas'!$C$2</f>
        <v>42000</v>
      </c>
      <c r="F97" s="2">
        <f t="shared" ref="F97:F98" si="9">D97-E97</f>
        <v>8000</v>
      </c>
      <c r="G97" s="7" t="s">
        <v>10</v>
      </c>
    </row>
    <row r="98" spans="1:7" x14ac:dyDescent="0.3">
      <c r="A98" s="15">
        <v>46167</v>
      </c>
      <c r="B98" s="23" t="s">
        <v>7</v>
      </c>
      <c r="C98" s="19">
        <v>2</v>
      </c>
      <c r="D98" s="8">
        <f>C98*25000</f>
        <v>50000</v>
      </c>
      <c r="E98" s="2">
        <f>C98*'Stok Gas'!$C$2</f>
        <v>42000</v>
      </c>
      <c r="F98" s="2">
        <f t="shared" si="9"/>
        <v>8000</v>
      </c>
      <c r="G98" s="7" t="s">
        <v>10</v>
      </c>
    </row>
    <row r="99" spans="1:7" x14ac:dyDescent="0.3">
      <c r="A99" s="15">
        <v>46170</v>
      </c>
      <c r="B99" s="23" t="s">
        <v>20</v>
      </c>
      <c r="C99" s="19">
        <v>1</v>
      </c>
      <c r="D99" s="8">
        <f>C99*25000</f>
        <v>25000</v>
      </c>
      <c r="E99" s="2">
        <f>C99*'Stok Gas'!$C$2</f>
        <v>21000</v>
      </c>
      <c r="F99" s="2">
        <f>D99-E99</f>
        <v>4000</v>
      </c>
      <c r="G99" s="7" t="s">
        <v>10</v>
      </c>
    </row>
    <row r="100" spans="1:7" x14ac:dyDescent="0.3">
      <c r="A100" s="15">
        <v>46171</v>
      </c>
      <c r="B100" s="23" t="s">
        <v>8</v>
      </c>
      <c r="C100" s="19">
        <v>2</v>
      </c>
      <c r="D100" s="8">
        <f t="shared" si="5"/>
        <v>50000</v>
      </c>
      <c r="E100" s="2">
        <f>C100*'Stok Gas'!$C$2</f>
        <v>42000</v>
      </c>
      <c r="F100" s="2">
        <f t="shared" si="8"/>
        <v>8000</v>
      </c>
      <c r="G100" s="7" t="s">
        <v>10</v>
      </c>
    </row>
    <row r="101" spans="1:7" x14ac:dyDescent="0.3">
      <c r="A101" s="15">
        <v>46172</v>
      </c>
      <c r="B101" s="23" t="s">
        <v>17</v>
      </c>
      <c r="C101" s="19">
        <v>2</v>
      </c>
      <c r="D101" s="8">
        <f t="shared" si="5"/>
        <v>50000</v>
      </c>
      <c r="E101" s="2">
        <f>C101*'Stok Gas'!$C$2</f>
        <v>42000</v>
      </c>
      <c r="F101" s="2">
        <f t="shared" si="8"/>
        <v>8000</v>
      </c>
      <c r="G101" s="7" t="s">
        <v>10</v>
      </c>
    </row>
    <row r="102" spans="1:7" x14ac:dyDescent="0.3">
      <c r="A102" s="15">
        <v>46173</v>
      </c>
      <c r="B102" s="23" t="s">
        <v>17</v>
      </c>
      <c r="C102" s="19">
        <v>3</v>
      </c>
      <c r="D102" s="8">
        <f t="shared" si="5"/>
        <v>75000</v>
      </c>
      <c r="E102" s="2">
        <f>C102*'Stok Gas'!$C$2</f>
        <v>63000</v>
      </c>
      <c r="F102" s="2">
        <f t="shared" si="8"/>
        <v>12000</v>
      </c>
      <c r="G102" s="7" t="s">
        <v>10</v>
      </c>
    </row>
    <row r="103" spans="1:7" x14ac:dyDescent="0.3">
      <c r="A103" s="15">
        <v>46173</v>
      </c>
      <c r="B103" s="23" t="s">
        <v>8</v>
      </c>
      <c r="C103" s="19">
        <v>3</v>
      </c>
      <c r="D103" s="8">
        <f t="shared" si="5"/>
        <v>75000</v>
      </c>
      <c r="E103" s="2">
        <f>C103*'Stok Gas'!$C$2</f>
        <v>63000</v>
      </c>
      <c r="F103" s="2">
        <f t="shared" si="8"/>
        <v>12000</v>
      </c>
      <c r="G103" s="7" t="s">
        <v>21</v>
      </c>
    </row>
    <row r="104" spans="1:7" x14ac:dyDescent="0.3">
      <c r="A104" s="15">
        <v>46143</v>
      </c>
      <c r="B104" s="23" t="s">
        <v>17</v>
      </c>
      <c r="C104" s="19">
        <v>2</v>
      </c>
      <c r="D104" s="8">
        <f t="shared" si="5"/>
        <v>50000</v>
      </c>
      <c r="E104" s="2">
        <f>C104*'Stok Gas'!$C$2</f>
        <v>42000</v>
      </c>
      <c r="F104" s="2">
        <f t="shared" si="8"/>
        <v>8000</v>
      </c>
      <c r="G104" s="7" t="s">
        <v>21</v>
      </c>
    </row>
    <row r="105" spans="1:7" x14ac:dyDescent="0.3">
      <c r="A105" s="15">
        <v>46143</v>
      </c>
      <c r="B105" s="23" t="s">
        <v>8</v>
      </c>
      <c r="C105" s="19">
        <v>1</v>
      </c>
      <c r="D105" s="8">
        <f t="shared" si="5"/>
        <v>25000</v>
      </c>
      <c r="E105" s="2">
        <f>C105*'Stok Gas'!$C$2</f>
        <v>21000</v>
      </c>
      <c r="F105" s="2">
        <f t="shared" si="8"/>
        <v>4000</v>
      </c>
      <c r="G105" s="7" t="s">
        <v>21</v>
      </c>
    </row>
    <row r="106" spans="1:7" x14ac:dyDescent="0.3">
      <c r="A106" s="15">
        <v>46143</v>
      </c>
      <c r="B106" s="23" t="s">
        <v>8</v>
      </c>
      <c r="C106" s="19">
        <v>2</v>
      </c>
      <c r="D106" s="8">
        <f t="shared" si="5"/>
        <v>50000</v>
      </c>
      <c r="E106" s="2">
        <f>C106*'Stok Gas'!$C$2</f>
        <v>42000</v>
      </c>
      <c r="F106" s="2">
        <f t="shared" si="8"/>
        <v>8000</v>
      </c>
      <c r="G106" s="7" t="s">
        <v>21</v>
      </c>
    </row>
    <row r="107" spans="1:7" x14ac:dyDescent="0.3">
      <c r="A107" s="15">
        <v>46176</v>
      </c>
      <c r="B107" s="23" t="s">
        <v>8</v>
      </c>
      <c r="C107" s="19">
        <v>1</v>
      </c>
      <c r="D107" s="8">
        <f t="shared" ref="D107:D120" si="10">C107*25000</f>
        <v>25000</v>
      </c>
      <c r="E107" s="2">
        <f>C107*'Stok Gas'!$C$2</f>
        <v>21000</v>
      </c>
      <c r="F107" s="2">
        <f t="shared" ref="F107:F120" si="11">D107-E107</f>
        <v>4000</v>
      </c>
      <c r="G107" s="7" t="s">
        <v>21</v>
      </c>
    </row>
    <row r="108" spans="1:7" x14ac:dyDescent="0.3">
      <c r="B108" s="23"/>
      <c r="C108" s="19"/>
      <c r="D108" s="8">
        <f t="shared" si="10"/>
        <v>0</v>
      </c>
      <c r="E108" s="2">
        <f>C108*'Stok Gas'!$C$2</f>
        <v>0</v>
      </c>
      <c r="F108" s="2">
        <f t="shared" si="11"/>
        <v>0</v>
      </c>
      <c r="G108" s="7" t="s">
        <v>21</v>
      </c>
    </row>
    <row r="109" spans="1:7" x14ac:dyDescent="0.3">
      <c r="D109" s="8">
        <f t="shared" si="10"/>
        <v>0</v>
      </c>
      <c r="E109" s="2">
        <f>C109*'Stok Gas'!$C$2</f>
        <v>0</v>
      </c>
      <c r="F109" s="2">
        <f t="shared" si="11"/>
        <v>0</v>
      </c>
      <c r="G109" s="7" t="s">
        <v>21</v>
      </c>
    </row>
    <row r="110" spans="1:7" x14ac:dyDescent="0.3">
      <c r="D110" s="8">
        <f t="shared" si="10"/>
        <v>0</v>
      </c>
      <c r="E110" s="2">
        <f>C110*'Stok Gas'!$C$2</f>
        <v>0</v>
      </c>
      <c r="F110" s="2">
        <f t="shared" si="11"/>
        <v>0</v>
      </c>
      <c r="G110" s="7" t="s">
        <v>21</v>
      </c>
    </row>
    <row r="111" spans="1:7" x14ac:dyDescent="0.3">
      <c r="D111" s="8">
        <f t="shared" si="10"/>
        <v>0</v>
      </c>
      <c r="E111" s="2">
        <f>C111*'Stok Gas'!$C$2</f>
        <v>0</v>
      </c>
      <c r="F111" s="2">
        <f t="shared" si="11"/>
        <v>0</v>
      </c>
      <c r="G111" s="7" t="s">
        <v>21</v>
      </c>
    </row>
    <row r="112" spans="1:7" x14ac:dyDescent="0.3">
      <c r="D112" s="8">
        <f t="shared" si="10"/>
        <v>0</v>
      </c>
      <c r="E112" s="2">
        <f>C112*'Stok Gas'!$C$2</f>
        <v>0</v>
      </c>
      <c r="F112" s="2">
        <f t="shared" si="11"/>
        <v>0</v>
      </c>
      <c r="G112" s="7" t="s">
        <v>21</v>
      </c>
    </row>
    <row r="113" spans="4:9" x14ac:dyDescent="0.3">
      <c r="D113" s="8">
        <f t="shared" si="10"/>
        <v>0</v>
      </c>
      <c r="E113" s="2">
        <f>C113*'Stok Gas'!$C$2</f>
        <v>0</v>
      </c>
      <c r="F113" s="2">
        <f t="shared" si="11"/>
        <v>0</v>
      </c>
      <c r="G113" s="7" t="s">
        <v>21</v>
      </c>
    </row>
    <row r="114" spans="4:9" x14ac:dyDescent="0.3">
      <c r="D114" s="8">
        <f t="shared" si="10"/>
        <v>0</v>
      </c>
      <c r="E114" s="2">
        <f>C114*'Stok Gas'!$C$2</f>
        <v>0</v>
      </c>
      <c r="F114" s="2">
        <f t="shared" si="11"/>
        <v>0</v>
      </c>
      <c r="G114" s="7" t="s">
        <v>21</v>
      </c>
    </row>
    <row r="115" spans="4:9" x14ac:dyDescent="0.3">
      <c r="D115" s="8">
        <f t="shared" si="10"/>
        <v>0</v>
      </c>
      <c r="E115" s="2">
        <f>C115*'Stok Gas'!$C$2</f>
        <v>0</v>
      </c>
      <c r="F115" s="2">
        <f t="shared" si="11"/>
        <v>0</v>
      </c>
      <c r="G115" s="7" t="s">
        <v>21</v>
      </c>
      <c r="I115" s="3"/>
    </row>
    <row r="116" spans="4:9" x14ac:dyDescent="0.3">
      <c r="D116" s="8">
        <f t="shared" si="10"/>
        <v>0</v>
      </c>
      <c r="E116" s="2">
        <f>C116*'Stok Gas'!$C$2</f>
        <v>0</v>
      </c>
      <c r="F116" s="2">
        <f t="shared" si="11"/>
        <v>0</v>
      </c>
      <c r="G116" s="7" t="s">
        <v>21</v>
      </c>
    </row>
    <row r="117" spans="4:9" x14ac:dyDescent="0.3">
      <c r="D117" s="8">
        <f t="shared" si="10"/>
        <v>0</v>
      </c>
      <c r="E117" s="2">
        <f>C117*'Stok Gas'!$C$2</f>
        <v>0</v>
      </c>
      <c r="F117" s="2">
        <f t="shared" si="11"/>
        <v>0</v>
      </c>
      <c r="G117" s="7" t="s">
        <v>21</v>
      </c>
    </row>
    <row r="118" spans="4:9" x14ac:dyDescent="0.3">
      <c r="D118" s="8">
        <f t="shared" si="10"/>
        <v>0</v>
      </c>
      <c r="E118" s="2">
        <f>C118*'Stok Gas'!$C$2</f>
        <v>0</v>
      </c>
      <c r="F118" s="2">
        <f t="shared" si="11"/>
        <v>0</v>
      </c>
      <c r="G118" s="7" t="s">
        <v>21</v>
      </c>
    </row>
    <row r="119" spans="4:9" x14ac:dyDescent="0.3">
      <c r="D119" s="8">
        <f t="shared" si="10"/>
        <v>0</v>
      </c>
      <c r="E119" s="2">
        <f>C119*'Stok Gas'!$C$2</f>
        <v>0</v>
      </c>
      <c r="F119" s="2">
        <f t="shared" si="11"/>
        <v>0</v>
      </c>
      <c r="G119" s="7" t="s">
        <v>21</v>
      </c>
    </row>
    <row r="120" spans="4:9" x14ac:dyDescent="0.3">
      <c r="D120" s="8">
        <f t="shared" si="10"/>
        <v>0</v>
      </c>
      <c r="E120" s="2">
        <f>C120*'Stok Gas'!$C$2</f>
        <v>0</v>
      </c>
      <c r="F120" s="2">
        <f t="shared" si="11"/>
        <v>0</v>
      </c>
      <c r="G120" s="7" t="s">
        <v>21</v>
      </c>
    </row>
  </sheetData>
  <autoFilter ref="A1:H107" xr:uid="{D15F102A-406D-4227-8C3D-970DD9A63B73}">
    <sortState xmlns:xlrd2="http://schemas.microsoft.com/office/spreadsheetml/2017/richdata2" ref="A2:H67">
      <sortCondition ref="A1"/>
    </sortState>
  </autoFilter>
  <conditionalFormatting sqref="D2:D16 D18:D120">
    <cfRule type="expression" dxfId="3" priority="4">
      <formula>$G2="Belum Lunas"</formula>
    </cfRule>
  </conditionalFormatting>
  <conditionalFormatting sqref="D17">
    <cfRule type="expression" dxfId="2" priority="7">
      <formula>#REF!="Belum Lunas"</formula>
    </cfRule>
  </conditionalFormatting>
  <conditionalFormatting sqref="G2:G120">
    <cfRule type="cellIs" dxfId="1" priority="2" operator="equal">
      <formula>"Belum Lunas"</formula>
    </cfRule>
    <cfRule type="cellIs" dxfId="0" priority="3" operator="equal">
      <formula>"Lunas"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533CF-D399-49DA-8789-35F3F4FEAB1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AEA8-897E-4D61-924C-16EECCF3D919}">
  <dimension ref="A1:E31"/>
  <sheetViews>
    <sheetView workbookViewId="0">
      <selection activeCell="G14" sqref="G14"/>
    </sheetView>
  </sheetViews>
  <sheetFormatPr defaultRowHeight="14.4" x14ac:dyDescent="0.3"/>
  <cols>
    <col min="1" max="1" width="9.33203125" bestFit="1" customWidth="1"/>
    <col min="2" max="2" width="12.33203125" bestFit="1" customWidth="1"/>
  </cols>
  <sheetData>
    <row r="1" spans="1:5" x14ac:dyDescent="0.3">
      <c r="A1" t="s">
        <v>0</v>
      </c>
      <c r="B1" t="s">
        <v>22</v>
      </c>
      <c r="C1" t="s">
        <v>23</v>
      </c>
      <c r="D1" t="s">
        <v>24</v>
      </c>
      <c r="E1" t="s">
        <v>5</v>
      </c>
    </row>
    <row r="2" spans="1:5" x14ac:dyDescent="0.3">
      <c r="A2" s="4">
        <v>46116</v>
      </c>
      <c r="B2">
        <v>30</v>
      </c>
      <c r="C2">
        <v>21000</v>
      </c>
      <c r="D2">
        <f>C2*B2</f>
        <v>630000</v>
      </c>
      <c r="E2">
        <f>Transaksi!K2</f>
        <v>17</v>
      </c>
    </row>
    <row r="3" spans="1:5" x14ac:dyDescent="0.3">
      <c r="A3" s="4">
        <v>46125</v>
      </c>
      <c r="B3">
        <v>28</v>
      </c>
      <c r="C3">
        <v>21000</v>
      </c>
      <c r="D3">
        <f t="shared" ref="D3:D13" si="0">C3*B3</f>
        <v>588000</v>
      </c>
    </row>
    <row r="4" spans="1:5" x14ac:dyDescent="0.3">
      <c r="A4" s="4">
        <v>46128</v>
      </c>
      <c r="B4">
        <v>26</v>
      </c>
      <c r="C4">
        <v>21000</v>
      </c>
      <c r="D4">
        <f t="shared" si="0"/>
        <v>546000</v>
      </c>
    </row>
    <row r="5" spans="1:5" x14ac:dyDescent="0.3">
      <c r="A5" s="4">
        <v>46131</v>
      </c>
      <c r="B5">
        <v>25</v>
      </c>
      <c r="C5">
        <v>21000</v>
      </c>
      <c r="D5">
        <f t="shared" si="0"/>
        <v>525000</v>
      </c>
    </row>
    <row r="6" spans="1:5" x14ac:dyDescent="0.3">
      <c r="A6" s="4">
        <v>46135</v>
      </c>
      <c r="B6">
        <v>24</v>
      </c>
      <c r="C6">
        <v>21000</v>
      </c>
      <c r="D6">
        <f t="shared" si="0"/>
        <v>504000</v>
      </c>
    </row>
    <row r="7" spans="1:5" x14ac:dyDescent="0.3">
      <c r="A7" s="4">
        <v>46141</v>
      </c>
      <c r="B7">
        <v>28</v>
      </c>
      <c r="C7">
        <v>21000</v>
      </c>
      <c r="D7">
        <f t="shared" si="0"/>
        <v>588000</v>
      </c>
    </row>
    <row r="8" spans="1:5" x14ac:dyDescent="0.3">
      <c r="A8" s="4">
        <v>46145</v>
      </c>
      <c r="B8">
        <v>24</v>
      </c>
      <c r="C8">
        <v>21000</v>
      </c>
      <c r="D8">
        <f t="shared" si="0"/>
        <v>504000</v>
      </c>
    </row>
    <row r="9" spans="1:5" x14ac:dyDescent="0.3">
      <c r="A9" s="4">
        <v>46149</v>
      </c>
      <c r="B9">
        <v>26</v>
      </c>
      <c r="C9">
        <v>21000</v>
      </c>
      <c r="D9">
        <f t="shared" si="0"/>
        <v>546000</v>
      </c>
    </row>
    <row r="10" spans="1:5" x14ac:dyDescent="0.3">
      <c r="A10" s="4">
        <v>46155</v>
      </c>
      <c r="B10">
        <v>25</v>
      </c>
      <c r="C10">
        <v>21000</v>
      </c>
      <c r="D10">
        <f t="shared" si="0"/>
        <v>525000</v>
      </c>
    </row>
    <row r="11" spans="1:5" x14ac:dyDescent="0.3">
      <c r="A11" s="4">
        <v>46160</v>
      </c>
      <c r="B11">
        <v>25</v>
      </c>
      <c r="C11">
        <v>21000</v>
      </c>
      <c r="D11">
        <f t="shared" si="0"/>
        <v>525000</v>
      </c>
    </row>
    <row r="12" spans="1:5" x14ac:dyDescent="0.3">
      <c r="A12" s="4">
        <v>46163</v>
      </c>
      <c r="B12">
        <v>27</v>
      </c>
      <c r="C12">
        <v>21000</v>
      </c>
      <c r="D12">
        <f t="shared" si="0"/>
        <v>567000</v>
      </c>
    </row>
    <row r="13" spans="1:5" x14ac:dyDescent="0.3">
      <c r="A13" s="4">
        <v>46172</v>
      </c>
      <c r="B13">
        <v>29</v>
      </c>
      <c r="C13">
        <v>21000</v>
      </c>
      <c r="D13">
        <f t="shared" si="0"/>
        <v>609000</v>
      </c>
    </row>
    <row r="14" spans="1:5" x14ac:dyDescent="0.3">
      <c r="C14">
        <v>21000</v>
      </c>
      <c r="D14">
        <f t="shared" ref="D14:D31" si="1">C14*B14</f>
        <v>0</v>
      </c>
    </row>
    <row r="15" spans="1:5" x14ac:dyDescent="0.3">
      <c r="C15">
        <v>21000</v>
      </c>
      <c r="D15">
        <f t="shared" si="1"/>
        <v>0</v>
      </c>
    </row>
    <row r="16" spans="1:5" x14ac:dyDescent="0.3">
      <c r="C16">
        <v>21000</v>
      </c>
      <c r="D16">
        <f t="shared" si="1"/>
        <v>0</v>
      </c>
    </row>
    <row r="17" spans="3:4" x14ac:dyDescent="0.3">
      <c r="C17">
        <v>21000</v>
      </c>
      <c r="D17">
        <f t="shared" si="1"/>
        <v>0</v>
      </c>
    </row>
    <row r="18" spans="3:4" x14ac:dyDescent="0.3">
      <c r="C18">
        <v>21000</v>
      </c>
      <c r="D18">
        <f t="shared" si="1"/>
        <v>0</v>
      </c>
    </row>
    <row r="19" spans="3:4" x14ac:dyDescent="0.3">
      <c r="C19">
        <v>21000</v>
      </c>
      <c r="D19">
        <f t="shared" si="1"/>
        <v>0</v>
      </c>
    </row>
    <row r="20" spans="3:4" x14ac:dyDescent="0.3">
      <c r="C20">
        <v>21000</v>
      </c>
      <c r="D20">
        <f t="shared" si="1"/>
        <v>0</v>
      </c>
    </row>
    <row r="21" spans="3:4" x14ac:dyDescent="0.3">
      <c r="C21">
        <v>21000</v>
      </c>
      <c r="D21">
        <f t="shared" si="1"/>
        <v>0</v>
      </c>
    </row>
    <row r="22" spans="3:4" x14ac:dyDescent="0.3">
      <c r="C22">
        <v>21000</v>
      </c>
      <c r="D22">
        <f t="shared" si="1"/>
        <v>0</v>
      </c>
    </row>
    <row r="23" spans="3:4" x14ac:dyDescent="0.3">
      <c r="C23">
        <v>21000</v>
      </c>
      <c r="D23">
        <f t="shared" si="1"/>
        <v>0</v>
      </c>
    </row>
    <row r="24" spans="3:4" x14ac:dyDescent="0.3">
      <c r="C24">
        <v>21000</v>
      </c>
      <c r="D24">
        <f t="shared" si="1"/>
        <v>0</v>
      </c>
    </row>
    <row r="25" spans="3:4" x14ac:dyDescent="0.3">
      <c r="C25">
        <v>21000</v>
      </c>
      <c r="D25">
        <f t="shared" si="1"/>
        <v>0</v>
      </c>
    </row>
    <row r="26" spans="3:4" x14ac:dyDescent="0.3">
      <c r="C26">
        <v>21000</v>
      </c>
      <c r="D26">
        <f t="shared" si="1"/>
        <v>0</v>
      </c>
    </row>
    <row r="27" spans="3:4" x14ac:dyDescent="0.3">
      <c r="C27">
        <v>21000</v>
      </c>
      <c r="D27">
        <f t="shared" si="1"/>
        <v>0</v>
      </c>
    </row>
    <row r="28" spans="3:4" x14ac:dyDescent="0.3">
      <c r="C28">
        <v>21000</v>
      </c>
      <c r="D28">
        <f t="shared" si="1"/>
        <v>0</v>
      </c>
    </row>
    <row r="29" spans="3:4" x14ac:dyDescent="0.3">
      <c r="C29">
        <v>21000</v>
      </c>
      <c r="D29">
        <f t="shared" si="1"/>
        <v>0</v>
      </c>
    </row>
    <row r="30" spans="3:4" x14ac:dyDescent="0.3">
      <c r="C30">
        <v>21000</v>
      </c>
      <c r="D30">
        <f t="shared" si="1"/>
        <v>0</v>
      </c>
    </row>
    <row r="31" spans="3:4" x14ac:dyDescent="0.3">
      <c r="C31">
        <v>21000</v>
      </c>
      <c r="D31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B8EB-66F9-4ADD-B3DE-0E2631BA082A}">
  <dimension ref="A1:F4"/>
  <sheetViews>
    <sheetView workbookViewId="0">
      <selection activeCell="C3" sqref="C3"/>
    </sheetView>
  </sheetViews>
  <sheetFormatPr defaultRowHeight="14.4" x14ac:dyDescent="0.3"/>
  <cols>
    <col min="3" max="3" width="11.109375" bestFit="1" customWidth="1"/>
    <col min="4" max="4" width="11.109375" customWidth="1"/>
    <col min="6" max="6" width="13.6640625" bestFit="1" customWidth="1"/>
  </cols>
  <sheetData>
    <row r="1" spans="1:6" x14ac:dyDescent="0.3">
      <c r="A1" s="25" t="s">
        <v>30</v>
      </c>
      <c r="B1" s="25"/>
      <c r="C1" s="25"/>
      <c r="D1" s="25"/>
      <c r="E1" s="25"/>
      <c r="F1" s="25"/>
    </row>
    <row r="2" spans="1:6" x14ac:dyDescent="0.3">
      <c r="A2" s="11" t="s">
        <v>25</v>
      </c>
      <c r="B2" s="11" t="s">
        <v>26</v>
      </c>
      <c r="C2" s="11" t="s">
        <v>27</v>
      </c>
      <c r="D2" s="11" t="s">
        <v>31</v>
      </c>
      <c r="E2" s="11" t="s">
        <v>29</v>
      </c>
      <c r="F2" s="11" t="s">
        <v>28</v>
      </c>
    </row>
    <row r="3" spans="1:6" x14ac:dyDescent="0.3">
      <c r="A3" s="1" t="s">
        <v>17</v>
      </c>
      <c r="B3" s="1">
        <f>SUMIFS(Transaksi!D:D,Transaksi!B:B,"Mamat",Transaksi!G:G,"Belum lunas",Transaksi!A:A,"&gt;="&amp;DATE(2026,4,1),Transaksi!A:A,"&lt;"&amp;DATE(2026,5,1))</f>
        <v>0</v>
      </c>
      <c r="C3" s="27">
        <f>SUMIFS(Transaksi!D:D,Transaksi!B:B,"Mamat",Transaksi!G:G,"Belum lunas",Transaksi!A:A,"&gt;="&amp;DATE(2026,5,1),Transaksi!A:A,"&lt;"&amp;DATE(2026,6,1))</f>
        <v>50000</v>
      </c>
      <c r="D3" s="27">
        <f>SUMIFS(Transaksi!D:D,Transaksi!B:B,"Mamat",Transaksi!G:G,"Belum lunas",Transaksi!A:A,"&gt;="&amp;DATE(2026,6,1),Transaksi!A:A,"&lt;"&amp;DATE(2026,7,1))</f>
        <v>0</v>
      </c>
      <c r="E3" s="1">
        <f>SUMIFS(Transaksi!C:C,Transaksi!B:B,"Mamat",Transaksi!G:G,"Belum lunas")</f>
        <v>2</v>
      </c>
      <c r="F3" s="12">
        <f>SUM(B3:C3)</f>
        <v>50000</v>
      </c>
    </row>
    <row r="4" spans="1:6" x14ac:dyDescent="0.3">
      <c r="A4" s="1" t="s">
        <v>8</v>
      </c>
      <c r="B4" s="1">
        <f>SUMIFS(Transaksi!D:D,Transaksi!B:B,"Kru",Transaksi!G:G,"Belum lunas",Transaksi!A:A,"&gt;="&amp;DATE(2026,4,1),Transaksi!A:A,"&lt;"&amp;DATE(2026,5,1))</f>
        <v>0</v>
      </c>
      <c r="C4" s="26">
        <f>SUMIFS(Transaksi!D:D,Transaksi!B:B,"Kru",Transaksi!G:G,"Belum lunas",Transaksi!A:A,"&gt;="&amp;DATE(2026,5,1),Transaksi!A:A,"&lt;"&amp;DATE(2026,6,1))</f>
        <v>150000</v>
      </c>
      <c r="D4" s="26">
        <f>SUMIFS(Transaksi!D:D,Transaksi!B:B,"Kru",Transaksi!G:G,"Belum lunas",Transaksi!A:A,"&gt;="&amp;DATE(2026,6,1),Transaksi!A:A,"&lt;"&amp;DATE(2026,7,1))</f>
        <v>25000</v>
      </c>
      <c r="E4" s="18">
        <f>SUMIFS(Transaksi!C:C,Transaksi!B:B,"Kru",Transaksi!G:G,"Belum lunas")</f>
        <v>7</v>
      </c>
      <c r="F4" s="12">
        <f>SUM(B4:C4)</f>
        <v>150000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Transaksi</vt:lpstr>
      <vt:lpstr>Dashboard</vt:lpstr>
      <vt:lpstr>Stok Gas</vt:lpstr>
      <vt:lpstr>Piutang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ahmadefriansirojulalam</dc:creator>
  <cp:lastModifiedBy>ahmadefriansirojulalam</cp:lastModifiedBy>
  <dcterms:created xsi:type="dcterms:W3CDTF">2026-03-29T11:18:38Z</dcterms:created>
  <dcterms:modified xsi:type="dcterms:W3CDTF">2026-06-03T15:44:48Z</dcterms:modified>
</cp:coreProperties>
</file>